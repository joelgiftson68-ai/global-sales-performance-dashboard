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7af732d2624e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_Data" sheetId="1" r:id="Rd2806ff562154d13"/>
    <x:sheet xmlns:r="http://schemas.openxmlformats.org/officeDocument/2006/relationships" name="Dashboard" sheetId="2" r:id="Ra9ef928a7b7d4b64"/>
    <x:sheet xmlns:r="http://schemas.openxmlformats.org/officeDocument/2006/relationships" name="Insights" sheetId="3" r:id="R90c854fa54cb45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$#,##0"/>
    <x:numFmt numFmtId="202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4472C4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1" fontId="1" fillId="3" borderId="0" xfId="0" applyNumberFormat="1" applyFont="1" applyFill="1" applyBorder="1"/>
    <x:xf numFmtId="201" fontId="1" fillId="3" borderId="1" xfId="0" applyNumberFormat="1" applyFont="1" applyFill="1" applyBorder="1"/>
    <x:xf numFmtId="202" fontId="1" fillId="3" borderId="0" xfId="0" applyNumberFormat="1" applyFont="1" applyFill="1" applyBorder="1"/>
    <x:xf numFmtId="202" fontId="1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2f6d15ff944dcb" /><Relationship Type="http://schemas.openxmlformats.org/officeDocument/2006/relationships/theme" Target="/xl/theme/theme1.xml" Id="R9efa3d602d9241e0" /><Relationship Type="http://schemas.openxmlformats.org/officeDocument/2006/relationships/sharedStrings" Target="/xl/sharedStrings.xml" Id="R6a7ae675103f4a5a" /><Relationship Type="http://schemas.openxmlformats.org/officeDocument/2006/relationships/worksheet" Target="/xl/worksheets/sheet1.xml" Id="Rd2806ff562154d13" /><Relationship Type="http://schemas.openxmlformats.org/officeDocument/2006/relationships/worksheet" Target="/xl/worksheets/sheet2.xml" Id="Ra9ef928a7b7d4b64" /><Relationship Type="http://schemas.openxmlformats.org/officeDocument/2006/relationships/worksheet" Target="/xl/worksheets/sheet3.xml" Id="R90c854fa54cb45a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de8032eaf024dcb" /><Relationship Type="http://schemas.openxmlformats.org/officeDocument/2006/relationships/chart" Target="/xl/drawings/charts/chart2.xml" Id="Re62c19325c274d18" /><Relationship Type="http://schemas.openxmlformats.org/officeDocument/2006/relationships/chart" Target="/xl/drawings/charts/chart3.xml" Id="Rb2476eaae55b4d3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2026 Revenue by Country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Revenue</c:v>
          </c:tx>
          <c:cat>
            <c:strRef>
              <c:f>'Dashboard'!$A$12:$A$31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'Dashboard'!$D$12:$D$31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Country YoY Growth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YoY Growth</c:v>
          </c:tx>
          <c:cat>
            <c:strRef>
              <c:f>'Dashboard'!$A$12:$A$31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'Dashboard'!$F$12:$F$31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2026 Revenue by Product Category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Revenue</c:v>
          </c:tx>
          <c:cat>
            <c:strRef>
              <c:f>'Dashboard'!$I$5:$I$7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'Dashboard'!$J$5:$J$7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15</xdr:row>
      <xdr:rowOff>0</xdr:rowOff>
    </xdr:from>
    <xdr:to>
      <xdr:col>16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de8032eaf024dcb"/>
        </a:graphicData>
      </a:graphic>
    </xdr:graphicFrame>
    <xdr:clientData/>
  </xdr:twoCellAnchor>
  <xdr:twoCellAnchor>
    <xdr:from>
      <xdr:col>0</xdr:col>
      <xdr:colOff>0</xdr:colOff>
      <xdr:row>33</xdr:row>
      <xdr:rowOff>0</xdr:rowOff>
    </xdr:from>
    <xdr:to>
      <xdr:col>8</xdr:col>
      <xdr:colOff>0</xdr:colOff>
      <xdr:row>49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62c19325c274d18"/>
        </a:graphicData>
      </a:graphic>
    </xdr:graphicFrame>
    <xdr:clientData/>
  </xdr:twoCellAnchor>
  <xdr:twoCellAnchor>
    <xdr:from>
      <xdr:col>8</xdr:col>
      <xdr:colOff>0</xdr:colOff>
      <xdr:row>33</xdr:row>
      <xdr:rowOff>0</xdr:rowOff>
    </xdr:from>
    <xdr:to>
      <xdr:col>16</xdr:col>
      <xdr:colOff>0</xdr:colOff>
      <xdr:row>49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2476eaae55b4d3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alesTable" displayName="SalesTable" ref="A1:M721" headerRowCount="1" totalsRowCount="0" totalsRowShown="0">
  <x:tableColumns count="13">
    <x:tableColumn id="1" name="Order ID"/>
    <x:tableColumn id="2" name="Order Date"/>
    <x:tableColumn id="3" name="Year"/>
    <x:tableColumn id="4" name="Country"/>
    <x:tableColumn id="5" name="Region"/>
    <x:tableColumn id="6" name="Category"/>
    <x:tableColumn id="7" name="Product"/>
    <x:tableColumn id="8" name="Customer Segment"/>
    <x:tableColumn id="9" name="Units"/>
    <x:tableColumn id="10" name="Revenue"/>
    <x:tableColumn id="11" name="Cost"/>
    <x:tableColumn id="12" name="Profit"/>
    <x:tableColumn id="13" name="Profit Margi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fddfcebe068473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c8acb1d4d704013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1.5" hidden="0" customWidth="1"/>
    <x:col min="3" max="3" width="6.380000114440918" hidden="0" customWidth="1"/>
    <x:col min="4" max="4" width="18" hidden="0" customWidth="1"/>
    <x:col min="5" max="5" width="16" hidden="0" customWidth="1"/>
    <x:col min="6" max="6" width="18" hidden="0" customWidth="1"/>
    <x:col min="7" max="7" width="20" hidden="0" customWidth="1"/>
    <x:col min="8" max="8" width="20" hidden="0" customWidth="1"/>
    <x:col min="9" max="9" width="7" hidden="0" customWidth="1"/>
    <x:col min="10" max="10" width="9.630000114440918" hidden="0" customWidth="1"/>
    <x:col min="11" max="11" width="6.630000114440918" hidden="0" customWidth="1"/>
    <x:col min="12" max="12" width="7.25" hidden="0" customWidth="1"/>
    <x:col min="13" max="13" width="13.130000114440918" hidden="0" customWidth="1"/>
  </x:cols>
  <x:sheetData>
    <x:row r="1">
      <x:c r="A1" s="4" t="str">
        <x:v>Order ID</x:v>
      </x:c>
      <x:c r="B1" s="4" t="str">
        <x:v>Order Date</x:v>
      </x:c>
      <x:c r="C1" s="4" t="str">
        <x:v>Year</x:v>
      </x:c>
      <x:c r="D1" s="4" t="str">
        <x:v>Country</x:v>
      </x:c>
      <x:c r="E1" s="4" t="str">
        <x:v>Region</x:v>
      </x:c>
      <x:c r="F1" s="4" t="str">
        <x:v>Category</x:v>
      </x:c>
      <x:c r="G1" s="4" t="str">
        <x:v>Product</x:v>
      </x:c>
      <x:c r="H1" s="4" t="str">
        <x:v>Customer Segment</x:v>
      </x:c>
      <x:c r="I1" s="4" t="str">
        <x:v>Units</x:v>
      </x:c>
      <x:c r="J1" s="4" t="str">
        <x:v>Revenue</x:v>
      </x:c>
      <x:c r="K1" s="4" t="str">
        <x:v>Cost</x:v>
      </x:c>
      <x:c r="L1" s="4" t="str">
        <x:v>Profit</x:v>
      </x:c>
      <x:c r="M1" s="4" t="str">
        <x:v>Profit Margin</x:v>
      </x:c>
    </x:row>
    <x:row r="2">
      <x:c r="A2" t="str">
        <x:v>ORD-10001</x:v>
      </x:c>
      <x:c r="B2" s="8" t="n">
        <x:v>45315</x:v>
      </x:c>
      <x:c r="C2" t="n">
        <x:v>2024</x:v>
      </x:c>
      <x:c r="D2" t="str">
        <x:v>United States</x:v>
      </x:c>
      <x:c r="E2" t="str">
        <x:v>North America</x:v>
      </x:c>
      <x:c r="F2" t="str">
        <x:v>Office Supplies</x:v>
      </x:c>
      <x:c r="G2" t="str">
        <x:v>Printer Paper</x:v>
      </x:c>
      <x:c r="H2" t="str">
        <x:v>Consumer</x:v>
      </x:c>
      <x:c r="I2" t="n">
        <x:v>109</x:v>
      </x:c>
      <x:c r="J2" s="10" t="n">
        <x:v>13464.48</x:v>
      </x:c>
      <x:c r="K2" s="10" t="n">
        <x:v>11353.45</x:v>
      </x:c>
      <x:c r="L2" s="10" t="n">
        <x:v>2111.03</x:v>
      </x:c>
      <x:c r="M2" s="12" t="n">
        <x:v>0.15678528857785862</x:v>
      </x:c>
    </x:row>
    <x:row r="3">
      <x:c r="A3" t="str">
        <x:v>ORD-10002</x:v>
      </x:c>
      <x:c r="B3" s="8" t="n">
        <x:v>45330</x:v>
      </x:c>
      <x:c r="C3" t="n">
        <x:v>2024</x:v>
      </x:c>
      <x:c r="D3" t="str">
        <x:v>United States</x:v>
      </x:c>
      <x:c r="E3" t="str">
        <x:v>North America</x:v>
      </x:c>
      <x:c r="F3" t="str">
        <x:v>Technology</x:v>
      </x:c>
      <x:c r="G3" t="str">
        <x:v>Laptop</x:v>
      </x:c>
      <x:c r="H3" t="str">
        <x:v>Home Office</x:v>
      </x:c>
      <x:c r="I3" t="n">
        <x:v>69</x:v>
      </x:c>
      <x:c r="J3" s="10" t="n">
        <x:v>40117.75</x:v>
      </x:c>
      <x:c r="K3" s="10" t="n">
        <x:v>30439.6</x:v>
      </x:c>
      <x:c r="L3" s="10" t="n">
        <x:v>9678.14</x:v>
      </x:c>
      <x:c r="M3" s="12" t="n">
        <x:v>0.2412434287833911</x:v>
      </x:c>
    </x:row>
    <x:row r="4">
      <x:c r="A4" t="str">
        <x:v>ORD-10003</x:v>
      </x:c>
      <x:c r="B4" s="8" t="n">
        <x:v>45365</x:v>
      </x:c>
      <x:c r="C4" t="n">
        <x:v>2024</x:v>
      </x:c>
      <x:c r="D4" t="str">
        <x:v>United States</x:v>
      </x:c>
      <x:c r="E4" t="str">
        <x:v>North America</x:v>
      </x:c>
      <x:c r="F4" t="str">
        <x:v>Office Supplies</x:v>
      </x:c>
      <x:c r="G4" t="str">
        <x:v>Printer Paper</x:v>
      </x:c>
      <x:c r="H4" t="str">
        <x:v>Home Office</x:v>
      </x:c>
      <x:c r="I4" t="n">
        <x:v>40</x:v>
      </x:c>
      <x:c r="J4" s="10" t="n">
        <x:v>6369.9</x:v>
      </x:c>
      <x:c r="K4" s="10" t="n">
        <x:v>5005.73</x:v>
      </x:c>
      <x:c r="L4" s="10" t="n">
        <x:v>1364.17</x:v>
      </x:c>
      <x:c r="M4" s="12" t="n">
        <x:v>0.2141589968308283</x:v>
      </x:c>
    </x:row>
    <x:row r="5">
      <x:c r="A5" t="str">
        <x:v>ORD-10004</x:v>
      </x:c>
      <x:c r="B5" s="8" t="n">
        <x:v>45408</x:v>
      </x:c>
      <x:c r="C5" t="n">
        <x:v>2024</x:v>
      </x:c>
      <x:c r="D5" t="str">
        <x:v>United States</x:v>
      </x:c>
      <x:c r="E5" t="str">
        <x:v>North America</x:v>
      </x:c>
      <x:c r="F5" t="str">
        <x:v>Technology</x:v>
      </x:c>
      <x:c r="G5" t="str">
        <x:v>Headphones</x:v>
      </x:c>
      <x:c r="H5" t="str">
        <x:v>Home Office</x:v>
      </x:c>
      <x:c r="I5" t="n">
        <x:v>50</x:v>
      </x:c>
      <x:c r="J5" s="10" t="n">
        <x:v>46707.88</x:v>
      </x:c>
      <x:c r="K5" s="10" t="n">
        <x:v>35928.64</x:v>
      </x:c>
      <x:c r="L5" s="10" t="n">
        <x:v>10779.24</x:v>
      </x:c>
      <x:c r="M5" s="12" t="n">
        <x:v>0.2307798511613673</x:v>
      </x:c>
    </x:row>
    <x:row r="6">
      <x:c r="A6" t="str">
        <x:v>ORD-10005</x:v>
      </x:c>
      <x:c r="B6" s="8" t="n">
        <x:v>45423</x:v>
      </x:c>
      <x:c r="C6" t="n">
        <x:v>2024</x:v>
      </x:c>
      <x:c r="D6" t="str">
        <x:v>United States</x:v>
      </x:c>
      <x:c r="E6" t="str">
        <x:v>North America</x:v>
      </x:c>
      <x:c r="F6" t="str">
        <x:v>Technology</x:v>
      </x:c>
      <x:c r="G6" t="str">
        <x:v>Headphones</x:v>
      </x:c>
      <x:c r="H6" t="str">
        <x:v>Corporate</x:v>
      </x:c>
      <x:c r="I6" t="n">
        <x:v>50</x:v>
      </x:c>
      <x:c r="J6" s="10" t="n">
        <x:v>31876.28</x:v>
      </x:c>
      <x:c r="K6" s="10" t="n">
        <x:v>20883.25</x:v>
      </x:c>
      <x:c r="L6" s="10" t="n">
        <x:v>10993.03</x:v>
      </x:c>
      <x:c r="M6" s="12" t="n">
        <x:v>0.34486556866481366</x:v>
      </x:c>
    </x:row>
    <x:row r="7">
      <x:c r="A7" t="str">
        <x:v>ORD-10006</x:v>
      </x:c>
      <x:c r="B7" s="8" t="n">
        <x:v>45452</x:v>
      </x:c>
      <x:c r="C7" t="n">
        <x:v>2024</x:v>
      </x:c>
      <x:c r="D7" t="str">
        <x:v>United States</x:v>
      </x:c>
      <x:c r="E7" t="str">
        <x:v>North America</x:v>
      </x:c>
      <x:c r="F7" t="str">
        <x:v>Technology</x:v>
      </x:c>
      <x:c r="G7" t="str">
        <x:v>Laptop</x:v>
      </x:c>
      <x:c r="H7" t="str">
        <x:v>Corporate</x:v>
      </x:c>
      <x:c r="I7" t="n">
        <x:v>27</x:v>
      </x:c>
      <x:c r="J7" s="10" t="n">
        <x:v>19705.49</x:v>
      </x:c>
      <x:c r="K7" s="10" t="n">
        <x:v>14359.89</x:v>
      </x:c>
      <x:c r="L7" s="10" t="n">
        <x:v>5345.6</x:v>
      </x:c>
      <x:c r="M7" s="12" t="n">
        <x:v>0.2712746866974765</x:v>
      </x:c>
    </x:row>
    <x:row r="8">
      <x:c r="A8" t="str">
        <x:v>ORD-10007</x:v>
      </x:c>
      <x:c r="B8" s="8" t="n">
        <x:v>45491</x:v>
      </x:c>
      <x:c r="C8" t="n">
        <x:v>2024</x:v>
      </x:c>
      <x:c r="D8" t="str">
        <x:v>United States</x:v>
      </x:c>
      <x:c r="E8" t="str">
        <x:v>North America</x:v>
      </x:c>
      <x:c r="F8" t="str">
        <x:v>Technology</x:v>
      </x:c>
      <x:c r="G8" t="str">
        <x:v>Headphones</x:v>
      </x:c>
      <x:c r="H8" t="str">
        <x:v>Home Office</x:v>
      </x:c>
      <x:c r="I8" t="n">
        <x:v>30</x:v>
      </x:c>
      <x:c r="J8" s="10" t="n">
        <x:v>30252.16</x:v>
      </x:c>
      <x:c r="K8" s="10" t="n">
        <x:v>21919.98</x:v>
      </x:c>
      <x:c r="L8" s="10" t="n">
        <x:v>8332.17</x:v>
      </x:c>
      <x:c r="M8" s="12" t="n">
        <x:v>0.2754241252650023</x:v>
      </x:c>
    </x:row>
    <x:row r="9">
      <x:c r="A9" t="str">
        <x:v>ORD-10008</x:v>
      </x:c>
      <x:c r="B9" s="8" t="n">
        <x:v>45512</x:v>
      </x:c>
      <x:c r="C9" t="n">
        <x:v>2024</x:v>
      </x:c>
      <x:c r="D9" t="str">
        <x:v>United States</x:v>
      </x:c>
      <x:c r="E9" t="str">
        <x:v>North America</x:v>
      </x:c>
      <x:c r="F9" t="str">
        <x:v>Furniture</x:v>
      </x:c>
      <x:c r="G9" t="str">
        <x:v>Bookshelf</x:v>
      </x:c>
      <x:c r="H9" t="str">
        <x:v>Home Office</x:v>
      </x:c>
      <x:c r="I9" t="n">
        <x:v>39</x:v>
      </x:c>
      <x:c r="J9" s="10" t="n">
        <x:v>21404.91</x:v>
      </x:c>
      <x:c r="K9" s="10" t="n">
        <x:v>17648.37</x:v>
      </x:c>
      <x:c r="L9" s="10" t="n">
        <x:v>3756.54</x:v>
      </x:c>
      <x:c r="M9" s="12" t="n">
        <x:v>0.1754989260386794</x:v>
      </x:c>
    </x:row>
    <x:row r="10">
      <x:c r="A10" t="str">
        <x:v>ORD-10009</x:v>
      </x:c>
      <x:c r="B10" s="8" t="n">
        <x:v>45562</x:v>
      </x:c>
      <x:c r="C10" t="n">
        <x:v>2024</x:v>
      </x:c>
      <x:c r="D10" t="str">
        <x:v>United States</x:v>
      </x:c>
      <x:c r="E10" t="str">
        <x:v>North America</x:v>
      </x:c>
      <x:c r="F10" t="str">
        <x:v>Furniture</x:v>
      </x:c>
      <x:c r="G10" t="str">
        <x:v>Office Chair</x:v>
      </x:c>
      <x:c r="H10" t="str">
        <x:v>Consumer</x:v>
      </x:c>
      <x:c r="I10" t="n">
        <x:v>27</x:v>
      </x:c>
      <x:c r="J10" s="10" t="n">
        <x:v>12358.96</x:v>
      </x:c>
      <x:c r="K10" s="10" t="n">
        <x:v>9585.5</x:v>
      </x:c>
      <x:c r="L10" s="10" t="n">
        <x:v>2773.47</x:v>
      </x:c>
      <x:c r="M10" s="12" t="n">
        <x:v>0.22440923628421228</x:v>
      </x:c>
    </x:row>
    <x:row r="11">
      <x:c r="A11" t="str">
        <x:v>ORD-10010</x:v>
      </x:c>
      <x:c r="B11" s="8" t="n">
        <x:v>45587</x:v>
      </x:c>
      <x:c r="C11" t="n">
        <x:v>2024</x:v>
      </x:c>
      <x:c r="D11" t="str">
        <x:v>United States</x:v>
      </x:c>
      <x:c r="E11" t="str">
        <x:v>North America</x:v>
      </x:c>
      <x:c r="F11" t="str">
        <x:v>Furniture</x:v>
      </x:c>
      <x:c r="G11" t="str">
        <x:v>Desk</x:v>
      </x:c>
      <x:c r="H11" t="str">
        <x:v>Corporate</x:v>
      </x:c>
      <x:c r="I11" t="n">
        <x:v>60</x:v>
      </x:c>
      <x:c r="J11" s="10" t="n">
        <x:v>24589.77</x:v>
      </x:c>
      <x:c r="K11" s="10" t="n">
        <x:v>19621.72</x:v>
      </x:c>
      <x:c r="L11" s="10" t="n">
        <x:v>4968.05</x:v>
      </x:c>
      <x:c r="M11" s="12" t="n">
        <x:v>0.20203733864589354</x:v>
      </x:c>
    </x:row>
    <x:row r="12">
      <x:c r="A12" t="str">
        <x:v>ORD-10011</x:v>
      </x:c>
      <x:c r="B12" s="8" t="n">
        <x:v>45602</x:v>
      </x:c>
      <x:c r="C12" t="n">
        <x:v>2024</x:v>
      </x:c>
      <x:c r="D12" t="str">
        <x:v>United States</x:v>
      </x:c>
      <x:c r="E12" t="str">
        <x:v>North America</x:v>
      </x:c>
      <x:c r="F12" t="str">
        <x:v>Office Supplies</x:v>
      </x:c>
      <x:c r="G12" t="str">
        <x:v>Printer Paper</x:v>
      </x:c>
      <x:c r="H12" t="str">
        <x:v>Home Office</x:v>
      </x:c>
      <x:c r="I12" t="n">
        <x:v>96</x:v>
      </x:c>
      <x:c r="J12" s="10" t="n">
        <x:v>11050.77</x:v>
      </x:c>
      <x:c r="K12" s="10" t="n">
        <x:v>8647.28</x:v>
      </x:c>
      <x:c r="L12" s="10" t="n">
        <x:v>2403.49</x:v>
      </x:c>
      <x:c r="M12" s="12" t="n">
        <x:v>0.217495215754042</x:v>
      </x:c>
    </x:row>
    <x:row r="13">
      <x:c r="A13" t="str">
        <x:v>ORD-10012</x:v>
      </x:c>
      <x:c r="B13" s="8" t="n">
        <x:v>45637</x:v>
      </x:c>
      <x:c r="C13" t="n">
        <x:v>2024</x:v>
      </x:c>
      <x:c r="D13" t="str">
        <x:v>United States</x:v>
      </x:c>
      <x:c r="E13" t="str">
        <x:v>North America</x:v>
      </x:c>
      <x:c r="F13" t="str">
        <x:v>Furniture</x:v>
      </x:c>
      <x:c r="G13" t="str">
        <x:v>Storage Cabinet</x:v>
      </x:c>
      <x:c r="H13" t="str">
        <x:v>Corporate</x:v>
      </x:c>
      <x:c r="I13" t="n">
        <x:v>96</x:v>
      </x:c>
      <x:c r="J13" s="10" t="n">
        <x:v>52246.64</x:v>
      </x:c>
      <x:c r="K13" s="10" t="n">
        <x:v>41987.82</x:v>
      </x:c>
      <x:c r="L13" s="10" t="n">
        <x:v>10258.83</x:v>
      </x:c>
      <x:c r="M13" s="12" t="n">
        <x:v>0.19635382087643222</x:v>
      </x:c>
    </x:row>
    <x:row r="14">
      <x:c r="A14" t="str">
        <x:v>ORD-10013</x:v>
      </x:c>
      <x:c r="B14" s="8" t="n">
        <x:v>45298</x:v>
      </x:c>
      <x:c r="C14" t="n">
        <x:v>2024</x:v>
      </x:c>
      <x:c r="D14" t="str">
        <x:v>Canada</x:v>
      </x:c>
      <x:c r="E14" t="str">
        <x:v>North America</x:v>
      </x:c>
      <x:c r="F14" t="str">
        <x:v>Technology</x:v>
      </x:c>
      <x:c r="G14" t="str">
        <x:v>Smartphone</x:v>
      </x:c>
      <x:c r="H14" t="str">
        <x:v>Consumer</x:v>
      </x:c>
      <x:c r="I14" t="n">
        <x:v>118</x:v>
      </x:c>
      <x:c r="J14" s="10" t="n">
        <x:v>46550.31</x:v>
      </x:c>
      <x:c r="K14" s="10" t="n">
        <x:v>34348.13</x:v>
      </x:c>
      <x:c r="L14" s="10" t="n">
        <x:v>12202.18</x:v>
      </x:c>
      <x:c r="M14" s="12" t="n">
        <x:v>0.2621289051170843</x:v>
      </x:c>
    </x:row>
    <x:row r="15">
      <x:c r="A15" t="str">
        <x:v>ORD-10014</x:v>
      </x:c>
      <x:c r="B15" s="8" t="n">
        <x:v>45343</x:v>
      </x:c>
      <x:c r="C15" t="n">
        <x:v>2024</x:v>
      </x:c>
      <x:c r="D15" t="str">
        <x:v>Canada</x:v>
      </x:c>
      <x:c r="E15" t="str">
        <x:v>North America</x:v>
      </x:c>
      <x:c r="F15" t="str">
        <x:v>Office Supplies</x:v>
      </x:c>
      <x:c r="G15" t="str">
        <x:v>Binders</x:v>
      </x:c>
      <x:c r="H15" t="str">
        <x:v>Consumer</x:v>
      </x:c>
      <x:c r="I15" t="n">
        <x:v>98</x:v>
      </x:c>
      <x:c r="J15" s="10" t="n">
        <x:v>7714.11</x:v>
      </x:c>
      <x:c r="K15" s="10" t="n">
        <x:v>5892.33</x:v>
      </x:c>
      <x:c r="L15" s="10" t="n">
        <x:v>1821.78</x:v>
      </x:c>
      <x:c r="M15" s="12" t="n">
        <x:v>0.23616197846640435</x:v>
      </x:c>
    </x:row>
    <x:row r="16">
      <x:c r="A16" t="str">
        <x:v>ORD-10015</x:v>
      </x:c>
      <x:c r="B16" s="8" t="n">
        <x:v>45360</x:v>
      </x:c>
      <x:c r="C16" t="n">
        <x:v>2024</x:v>
      </x:c>
      <x:c r="D16" t="str">
        <x:v>Canada</x:v>
      </x:c>
      <x:c r="E16" t="str">
        <x:v>North America</x:v>
      </x:c>
      <x:c r="F16" t="str">
        <x:v>Furniture</x:v>
      </x:c>
      <x:c r="G16" t="str">
        <x:v>Desk</x:v>
      </x:c>
      <x:c r="H16" t="str">
        <x:v>Corporate</x:v>
      </x:c>
      <x:c r="I16" t="n">
        <x:v>32</x:v>
      </x:c>
      <x:c r="J16" s="10" t="n">
        <x:v>7471.16</x:v>
      </x:c>
      <x:c r="K16" s="10" t="n">
        <x:v>5697.78</x:v>
      </x:c>
      <x:c r="L16" s="10" t="n">
        <x:v>1773.39</x:v>
      </x:c>
      <x:c r="M16" s="12" t="n">
        <x:v>0.23736417609957813</x:v>
      </x:c>
    </x:row>
    <x:row r="17">
      <x:c r="A17" t="str">
        <x:v>ORD-10016</x:v>
      </x:c>
      <x:c r="B17" s="8" t="n">
        <x:v>45387</x:v>
      </x:c>
      <x:c r="C17" t="n">
        <x:v>2024</x:v>
      </x:c>
      <x:c r="D17" t="str">
        <x:v>Canada</x:v>
      </x:c>
      <x:c r="E17" t="str">
        <x:v>North America</x:v>
      </x:c>
      <x:c r="F17" t="str">
        <x:v>Office Supplies</x:v>
      </x:c>
      <x:c r="G17" t="str">
        <x:v>Desk Organizer</x:v>
      </x:c>
      <x:c r="H17" t="str">
        <x:v>Home Office</x:v>
      </x:c>
      <x:c r="I17" t="n">
        <x:v>66</x:v>
      </x:c>
      <x:c r="J17" s="10" t="n">
        <x:v>4787.63</x:v>
      </x:c>
      <x:c r="K17" s="10" t="n">
        <x:v>3592.26</x:v>
      </x:c>
      <x:c r="L17" s="10" t="n">
        <x:v>1195.37</x:v>
      </x:c>
      <x:c r="M17" s="12" t="n">
        <x:v>0.24967909335869928</x:v>
      </x:c>
    </x:row>
    <x:row r="18">
      <x:c r="A18" t="str">
        <x:v>ORD-10017</x:v>
      </x:c>
      <x:c r="B18" s="8" t="n">
        <x:v>45433</x:v>
      </x:c>
      <x:c r="C18" t="n">
        <x:v>2024</x:v>
      </x:c>
      <x:c r="D18" t="str">
        <x:v>Canada</x:v>
      </x:c>
      <x:c r="E18" t="str">
        <x:v>North America</x:v>
      </x:c>
      <x:c r="F18" t="str">
        <x:v>Office Supplies</x:v>
      </x:c>
      <x:c r="G18" t="str">
        <x:v>Desk Organizer</x:v>
      </x:c>
      <x:c r="H18" t="str">
        <x:v>Consumer</x:v>
      </x:c>
      <x:c r="I18" t="n">
        <x:v>111</x:v>
      </x:c>
      <x:c r="J18" s="10" t="n">
        <x:v>6479.1</x:v>
      </x:c>
      <x:c r="K18" s="10" t="n">
        <x:v>5551.56</x:v>
      </x:c>
      <x:c r="L18" s="10" t="n">
        <x:v>927.53</x:v>
      </x:c>
      <x:c r="M18" s="12" t="n">
        <x:v>0.1431578956420791</x:v>
      </x:c>
    </x:row>
    <x:row r="19">
      <x:c r="A19" t="str">
        <x:v>ORD-10018</x:v>
      </x:c>
      <x:c r="B19" s="8" t="n">
        <x:v>45458</x:v>
      </x:c>
      <x:c r="C19" t="n">
        <x:v>2024</x:v>
      </x:c>
      <x:c r="D19" t="str">
        <x:v>Canada</x:v>
      </x:c>
      <x:c r="E19" t="str">
        <x:v>North America</x:v>
      </x:c>
      <x:c r="F19" t="str">
        <x:v>Technology</x:v>
      </x:c>
      <x:c r="G19" t="str">
        <x:v>Headphones</x:v>
      </x:c>
      <x:c r="H19" t="str">
        <x:v>Home Office</x:v>
      </x:c>
      <x:c r="I19" t="n">
        <x:v>23</x:v>
      </x:c>
      <x:c r="J19" s="10" t="n">
        <x:v>9475.11</x:v>
      </x:c>
      <x:c r="K19" s="10" t="n">
        <x:v>6618.3</x:v>
      </x:c>
      <x:c r="L19" s="10" t="n">
        <x:v>2856.81</x:v>
      </x:c>
      <x:c r="M19" s="12" t="n">
        <x:v>0.3015066114033353</x:v>
      </x:c>
    </x:row>
    <x:row r="20">
      <x:c r="A20" t="str">
        <x:v>ORD-10019</x:v>
      </x:c>
      <x:c r="B20" s="8" t="n">
        <x:v>45491</x:v>
      </x:c>
      <x:c r="C20" t="n">
        <x:v>2024</x:v>
      </x:c>
      <x:c r="D20" t="str">
        <x:v>Canada</x:v>
      </x:c>
      <x:c r="E20" t="str">
        <x:v>North America</x:v>
      </x:c>
      <x:c r="F20" t="str">
        <x:v>Office Supplies</x:v>
      </x:c>
      <x:c r="G20" t="str">
        <x:v>Binders</x:v>
      </x:c>
      <x:c r="H20" t="str">
        <x:v>Home Office</x:v>
      </x:c>
      <x:c r="I20" t="n">
        <x:v>16</x:v>
      </x:c>
      <x:c r="J20" s="10" t="n">
        <x:v>1389.8</x:v>
      </x:c>
      <x:c r="K20" s="10" t="n">
        <x:v>1190.02</x:v>
      </x:c>
      <x:c r="L20" s="10" t="n">
        <x:v>199.78</x:v>
      </x:c>
      <x:c r="M20" s="12" t="n">
        <x:v>0.1437462091580424</x:v>
      </x:c>
    </x:row>
    <x:row r="21">
      <x:c r="A21" t="str">
        <x:v>ORD-10020</x:v>
      </x:c>
      <x:c r="B21" s="8" t="n">
        <x:v>45528</x:v>
      </x:c>
      <x:c r="C21" t="n">
        <x:v>2024</x:v>
      </x:c>
      <x:c r="D21" t="str">
        <x:v>Canada</x:v>
      </x:c>
      <x:c r="E21" t="str">
        <x:v>North America</x:v>
      </x:c>
      <x:c r="F21" t="str">
        <x:v>Furniture</x:v>
      </x:c>
      <x:c r="G21" t="str">
        <x:v>Bookshelf</x:v>
      </x:c>
      <x:c r="H21" t="str">
        <x:v>Consumer</x:v>
      </x:c>
      <x:c r="I21" t="n">
        <x:v>52</x:v>
      </x:c>
      <x:c r="J21" s="10" t="n">
        <x:v>13666.82</x:v>
      </x:c>
      <x:c r="K21" s="10" t="n">
        <x:v>10599.34</x:v>
      </x:c>
      <x:c r="L21" s="10" t="n">
        <x:v>3067.47</x:v>
      </x:c>
      <x:c r="M21" s="12" t="n">
        <x:v>0.22444684475950466</x:v>
      </x:c>
    </x:row>
    <x:row r="22">
      <x:c r="A22" t="str">
        <x:v>ORD-10021</x:v>
      </x:c>
      <x:c r="B22" s="8" t="n">
        <x:v>45563</x:v>
      </x:c>
      <x:c r="C22" t="n">
        <x:v>2024</x:v>
      </x:c>
      <x:c r="D22" t="str">
        <x:v>Canada</x:v>
      </x:c>
      <x:c r="E22" t="str">
        <x:v>North America</x:v>
      </x:c>
      <x:c r="F22" t="str">
        <x:v>Office Supplies</x:v>
      </x:c>
      <x:c r="G22" t="str">
        <x:v>Binders</x:v>
      </x:c>
      <x:c r="H22" t="str">
        <x:v>Home Office</x:v>
      </x:c>
      <x:c r="I22" t="n">
        <x:v>112</x:v>
      </x:c>
      <x:c r="J22" s="10" t="n">
        <x:v>7200.41</x:v>
      </x:c>
      <x:c r="K22" s="10" t="n">
        <x:v>5475.8</x:v>
      </x:c>
      <x:c r="L22" s="10" t="n">
        <x:v>1724.61</x:v>
      </x:c>
      <x:c r="M22" s="12" t="n">
        <x:v>0.2395153407213785</x:v>
      </x:c>
    </x:row>
    <x:row r="23">
      <x:c r="A23" t="str">
        <x:v>ORD-10022</x:v>
      </x:c>
      <x:c r="B23" s="8" t="n">
        <x:v>45590</x:v>
      </x:c>
      <x:c r="C23" t="n">
        <x:v>2024</x:v>
      </x:c>
      <x:c r="D23" t="str">
        <x:v>Canada</x:v>
      </x:c>
      <x:c r="E23" t="str">
        <x:v>North America</x:v>
      </x:c>
      <x:c r="F23" t="str">
        <x:v>Office Supplies</x:v>
      </x:c>
      <x:c r="G23" t="str">
        <x:v>Binders</x:v>
      </x:c>
      <x:c r="H23" t="str">
        <x:v>Home Office</x:v>
      </x:c>
      <x:c r="I23" t="n">
        <x:v>79</x:v>
      </x:c>
      <x:c r="J23" s="10" t="n">
        <x:v>6608.64</x:v>
      </x:c>
      <x:c r="K23" s="10" t="n">
        <x:v>5628.31</x:v>
      </x:c>
      <x:c r="L23" s="10" t="n">
        <x:v>980.33</x:v>
      </x:c>
      <x:c r="M23" s="12" t="n">
        <x:v>0.14834071222595616</x:v>
      </x:c>
    </x:row>
    <x:row r="24">
      <x:c r="A24" t="str">
        <x:v>ORD-10023</x:v>
      </x:c>
      <x:c r="B24" s="8" t="n">
        <x:v>45608</x:v>
      </x:c>
      <x:c r="C24" t="n">
        <x:v>2024</x:v>
      </x:c>
      <x:c r="D24" t="str">
        <x:v>Canada</x:v>
      </x:c>
      <x:c r="E24" t="str">
        <x:v>North America</x:v>
      </x:c>
      <x:c r="F24" t="str">
        <x:v>Technology</x:v>
      </x:c>
      <x:c r="G24" t="str">
        <x:v>Laptop</x:v>
      </x:c>
      <x:c r="H24" t="str">
        <x:v>Home Office</x:v>
      </x:c>
      <x:c r="I24" t="n">
        <x:v>56</x:v>
      </x:c>
      <x:c r="J24" s="10" t="n">
        <x:v>24535.2</x:v>
      </x:c>
      <x:c r="K24" s="10" t="n">
        <x:v>18562.74</x:v>
      </x:c>
      <x:c r="L24" s="10" t="n">
        <x:v>5972.46</x:v>
      </x:c>
      <x:c r="M24" s="12" t="n">
        <x:v>0.24342412703850735</x:v>
      </x:c>
    </x:row>
    <x:row r="25">
      <x:c r="A25" t="str">
        <x:v>ORD-10024</x:v>
      </x:c>
      <x:c r="B25" s="8" t="n">
        <x:v>45629</x:v>
      </x:c>
      <x:c r="C25" t="n">
        <x:v>2024</x:v>
      </x:c>
      <x:c r="D25" t="str">
        <x:v>Canada</x:v>
      </x:c>
      <x:c r="E25" t="str">
        <x:v>North America</x:v>
      </x:c>
      <x:c r="F25" t="str">
        <x:v>Furniture</x:v>
      </x:c>
      <x:c r="G25" t="str">
        <x:v>Desk</x:v>
      </x:c>
      <x:c r="H25" t="str">
        <x:v>Consumer</x:v>
      </x:c>
      <x:c r="I25" t="n">
        <x:v>45</x:v>
      </x:c>
      <x:c r="J25" s="10" t="n">
        <x:v>14938.63</x:v>
      </x:c>
      <x:c r="K25" s="10" t="n">
        <x:v>10701.53</x:v>
      </x:c>
      <x:c r="L25" s="10" t="n">
        <x:v>4237.1</x:v>
      </x:c>
      <x:c r="M25" s="12" t="n">
        <x:v>0.2836339334357592</x:v>
      </x:c>
    </x:row>
    <x:row r="26">
      <x:c r="A26" t="str">
        <x:v>ORD-10025</x:v>
      </x:c>
      <x:c r="B26" s="8" t="n">
        <x:v>45313</x:v>
      </x:c>
      <x:c r="C26" t="n">
        <x:v>2024</x:v>
      </x:c>
      <x:c r="D26" t="str">
        <x:v>Mexico</x:v>
      </x:c>
      <x:c r="E26" t="str">
        <x:v>North America</x:v>
      </x:c>
      <x:c r="F26" t="str">
        <x:v>Office Supplies</x:v>
      </x:c>
      <x:c r="G26" t="str">
        <x:v>Desk Organizer</x:v>
      </x:c>
      <x:c r="H26" t="str">
        <x:v>Consumer</x:v>
      </x:c>
      <x:c r="I26" t="n">
        <x:v>112</x:v>
      </x:c>
      <x:c r="J26" s="10" t="n">
        <x:v>7187.87</x:v>
      </x:c>
      <x:c r="K26" s="10" t="n">
        <x:v>6144.97</x:v>
      </x:c>
      <x:c r="L26" s="10" t="n">
        <x:v>1042.9</x:v>
      </x:c>
      <x:c r="M26" s="12" t="n">
        <x:v>0.14509126138245296</x:v>
      </x:c>
    </x:row>
    <x:row r="27">
      <x:c r="A27" t="str">
        <x:v>ORD-10026</x:v>
      </x:c>
      <x:c r="B27" s="8" t="n">
        <x:v>45329</x:v>
      </x:c>
      <x:c r="C27" t="n">
        <x:v>2024</x:v>
      </x:c>
      <x:c r="D27" t="str">
        <x:v>Mexico</x:v>
      </x:c>
      <x:c r="E27" t="str">
        <x:v>North America</x:v>
      </x:c>
      <x:c r="F27" t="str">
        <x:v>Furniture</x:v>
      </x:c>
      <x:c r="G27" t="str">
        <x:v>Desk</x:v>
      </x:c>
      <x:c r="H27" t="str">
        <x:v>Corporate</x:v>
      </x:c>
      <x:c r="I27" t="n">
        <x:v>82</x:v>
      </x:c>
      <x:c r="J27" s="10" t="n">
        <x:v>21720.13</x:v>
      </x:c>
      <x:c r="K27" s="10" t="n">
        <x:v>16924.84</x:v>
      </x:c>
      <x:c r="L27" s="10" t="n">
        <x:v>4795.3</x:v>
      </x:c>
      <x:c r="M27" s="12" t="n">
        <x:v>0.2207765528241064</x:v>
      </x:c>
    </x:row>
    <x:row r="28">
      <x:c r="A28" t="str">
        <x:v>ORD-10027</x:v>
      </x:c>
      <x:c r="B28" s="8" t="n">
        <x:v>45363</x:v>
      </x:c>
      <x:c r="C28" t="n">
        <x:v>2024</x:v>
      </x:c>
      <x:c r="D28" t="str">
        <x:v>Mexico</x:v>
      </x:c>
      <x:c r="E28" t="str">
        <x:v>North America</x:v>
      </x:c>
      <x:c r="F28" t="str">
        <x:v>Office Supplies</x:v>
      </x:c>
      <x:c r="G28" t="str">
        <x:v>Pens</x:v>
      </x:c>
      <x:c r="H28" t="str">
        <x:v>Home Office</x:v>
      </x:c>
      <x:c r="I28" t="n">
        <x:v>54</x:v>
      </x:c>
      <x:c r="J28" s="10" t="n">
        <x:v>3205.64</x:v>
      </x:c>
      <x:c r="K28" s="10" t="n">
        <x:v>2530.53</x:v>
      </x:c>
      <x:c r="L28" s="10" t="n">
        <x:v>675.12</x:v>
      </x:c>
      <x:c r="M28" s="12" t="n">
        <x:v>0.21060243515659394</x:v>
      </x:c>
    </x:row>
    <x:row r="29">
      <x:c r="A29" t="str">
        <x:v>ORD-10028</x:v>
      </x:c>
      <x:c r="B29" s="8" t="n">
        <x:v>45401</x:v>
      </x:c>
      <x:c r="C29" t="n">
        <x:v>2024</x:v>
      </x:c>
      <x:c r="D29" t="str">
        <x:v>Mexico</x:v>
      </x:c>
      <x:c r="E29" t="str">
        <x:v>North America</x:v>
      </x:c>
      <x:c r="F29" t="str">
        <x:v>Furniture</x:v>
      </x:c>
      <x:c r="G29" t="str">
        <x:v>Storage Cabinet</x:v>
      </x:c>
      <x:c r="H29" t="str">
        <x:v>Consumer</x:v>
      </x:c>
      <x:c r="I29" t="n">
        <x:v>46</x:v>
      </x:c>
      <x:c r="J29" s="10" t="n">
        <x:v>8465.94</x:v>
      </x:c>
      <x:c r="K29" s="10" t="n">
        <x:v>6683.27</x:v>
      </x:c>
      <x:c r="L29" s="10" t="n">
        <x:v>1782.68</x:v>
      </x:c>
      <x:c r="M29" s="12" t="n">
        <x:v>0.2105702674576946</x:v>
      </x:c>
    </x:row>
    <x:row r="30">
      <x:c r="A30" t="str">
        <x:v>ORD-10029</x:v>
      </x:c>
      <x:c r="B30" s="8" t="n">
        <x:v>45414</x:v>
      </x:c>
      <x:c r="C30" t="n">
        <x:v>2024</x:v>
      </x:c>
      <x:c r="D30" t="str">
        <x:v>Mexico</x:v>
      </x:c>
      <x:c r="E30" t="str">
        <x:v>North America</x:v>
      </x:c>
      <x:c r="F30" t="str">
        <x:v>Office Supplies</x:v>
      </x:c>
      <x:c r="G30" t="str">
        <x:v>Pens</x:v>
      </x:c>
      <x:c r="H30" t="str">
        <x:v>Home Office</x:v>
      </x:c>
      <x:c r="I30" t="n">
        <x:v>43</x:v>
      </x:c>
      <x:c r="J30" s="10" t="n">
        <x:v>1946.13</x:v>
      </x:c>
      <x:c r="K30" s="10" t="n">
        <x:v>1527.83</x:v>
      </x:c>
      <x:c r="L30" s="10" t="n">
        <x:v>418.3</x:v>
      </x:c>
      <x:c r="M30" s="12" t="n">
        <x:v>0.21494091358581444</x:v>
      </x:c>
    </x:row>
    <x:row r="31">
      <x:c r="A31" t="str">
        <x:v>ORD-10030</x:v>
      </x:c>
      <x:c r="B31" s="8" t="n">
        <x:v>45465</x:v>
      </x:c>
      <x:c r="C31" t="n">
        <x:v>2024</x:v>
      </x:c>
      <x:c r="D31" t="str">
        <x:v>Mexico</x:v>
      </x:c>
      <x:c r="E31" t="str">
        <x:v>North America</x:v>
      </x:c>
      <x:c r="F31" t="str">
        <x:v>Technology</x:v>
      </x:c>
      <x:c r="G31" t="str">
        <x:v>Laptop</x:v>
      </x:c>
      <x:c r="H31" t="str">
        <x:v>Consumer</x:v>
      </x:c>
      <x:c r="I31" t="n">
        <x:v>57</x:v>
      </x:c>
      <x:c r="J31" s="10" t="n">
        <x:v>15178.24</x:v>
      </x:c>
      <x:c r="K31" s="10" t="n">
        <x:v>11253.74</x:v>
      </x:c>
      <x:c r="L31" s="10" t="n">
        <x:v>3924.49</x:v>
      </x:c>
      <x:c r="M31" s="12" t="n">
        <x:v>0.2585605561242794</x:v>
      </x:c>
    </x:row>
    <x:row r="32">
      <x:c r="A32" t="str">
        <x:v>ORD-10031</x:v>
      </x:c>
      <x:c r="B32" s="8" t="n">
        <x:v>45492</x:v>
      </x:c>
      <x:c r="C32" t="n">
        <x:v>2024</x:v>
      </x:c>
      <x:c r="D32" t="str">
        <x:v>Mexico</x:v>
      </x:c>
      <x:c r="E32" t="str">
        <x:v>North America</x:v>
      </x:c>
      <x:c r="F32" t="str">
        <x:v>Furniture</x:v>
      </x:c>
      <x:c r="G32" t="str">
        <x:v>Desk</x:v>
      </x:c>
      <x:c r="H32" t="str">
        <x:v>Home Office</x:v>
      </x:c>
      <x:c r="I32" t="n">
        <x:v>31</x:v>
      </x:c>
      <x:c r="J32" s="10" t="n">
        <x:v>7634.51</x:v>
      </x:c>
      <x:c r="K32" s="10" t="n">
        <x:v>5528.25</x:v>
      </x:c>
      <x:c r="L32" s="10" t="n">
        <x:v>2106.25</x:v>
      </x:c>
      <x:c r="M32" s="12" t="n">
        <x:v>0.2758859690168886</x:v>
      </x:c>
    </x:row>
    <x:row r="33">
      <x:c r="A33" t="str">
        <x:v>ORD-10032</x:v>
      </x:c>
      <x:c r="B33" s="8" t="n">
        <x:v>45526</x:v>
      </x:c>
      <x:c r="C33" t="n">
        <x:v>2024</x:v>
      </x:c>
      <x:c r="D33" t="str">
        <x:v>Mexico</x:v>
      </x:c>
      <x:c r="E33" t="str">
        <x:v>North America</x:v>
      </x:c>
      <x:c r="F33" t="str">
        <x:v>Furniture</x:v>
      </x:c>
      <x:c r="G33" t="str">
        <x:v>Desk</x:v>
      </x:c>
      <x:c r="H33" t="str">
        <x:v>Corporate</x:v>
      </x:c>
      <x:c r="I33" t="n">
        <x:v>118</x:v>
      </x:c>
      <x:c r="J33" s="10" t="n">
        <x:v>24402.53</x:v>
      </x:c>
      <x:c r="K33" s="10" t="n">
        <x:v>19977.88</x:v>
      </x:c>
      <x:c r="L33" s="10" t="n">
        <x:v>4424.64</x:v>
      </x:c>
      <x:c r="M33" s="12" t="n">
        <x:v>0.18131909557902587</x:v>
      </x:c>
    </x:row>
    <x:row r="34">
      <x:c r="A34" t="str">
        <x:v>ORD-10033</x:v>
      </x:c>
      <x:c r="B34" s="8" t="n">
        <x:v>45557</x:v>
      </x:c>
      <x:c r="C34" t="n">
        <x:v>2024</x:v>
      </x:c>
      <x:c r="D34" t="str">
        <x:v>Mexico</x:v>
      </x:c>
      <x:c r="E34" t="str">
        <x:v>North America</x:v>
      </x:c>
      <x:c r="F34" t="str">
        <x:v>Furniture</x:v>
      </x:c>
      <x:c r="G34" t="str">
        <x:v>Bookshelf</x:v>
      </x:c>
      <x:c r="H34" t="str">
        <x:v>Corporate</x:v>
      </x:c>
      <x:c r="I34" t="n">
        <x:v>67</x:v>
      </x:c>
      <x:c r="J34" s="10" t="n">
        <x:v>14357.07</x:v>
      </x:c>
      <x:c r="K34" s="10" t="n">
        <x:v>10660.28</x:v>
      </x:c>
      <x:c r="L34" s="10" t="n">
        <x:v>3696.79</x:v>
      </x:c>
      <x:c r="M34" s="12" t="n">
        <x:v>0.25748910193518215</x:v>
      </x:c>
    </x:row>
    <x:row r="35">
      <x:c r="A35" t="str">
        <x:v>ORD-10034</x:v>
      </x:c>
      <x:c r="B35" s="8" t="n">
        <x:v>45569</x:v>
      </x:c>
      <x:c r="C35" t="n">
        <x:v>2024</x:v>
      </x:c>
      <x:c r="D35" t="str">
        <x:v>Mexico</x:v>
      </x:c>
      <x:c r="E35" t="str">
        <x:v>North America</x:v>
      </x:c>
      <x:c r="F35" t="str">
        <x:v>Office Supplies</x:v>
      </x:c>
      <x:c r="G35" t="str">
        <x:v>Printer Paper</x:v>
      </x:c>
      <x:c r="H35" t="str">
        <x:v>Consumer</x:v>
      </x:c>
      <x:c r="I35" t="n">
        <x:v>66</x:v>
      </x:c>
      <x:c r="J35" s="10" t="n">
        <x:v>4700.24</x:v>
      </x:c>
      <x:c r="K35" s="10" t="n">
        <x:v>3637.65</x:v>
      </x:c>
      <x:c r="L35" s="10" t="n">
        <x:v>1062.59</x:v>
      </x:c>
      <x:c r="M35" s="12" t="n">
        <x:v>0.22607110130340377</x:v>
      </x:c>
    </x:row>
    <x:row r="36">
      <x:c r="A36" t="str">
        <x:v>ORD-10035</x:v>
      </x:c>
      <x:c r="B36" s="8" t="n">
        <x:v>45605</x:v>
      </x:c>
      <x:c r="C36" t="n">
        <x:v>2024</x:v>
      </x:c>
      <x:c r="D36" t="str">
        <x:v>Mexico</x:v>
      </x:c>
      <x:c r="E36" t="str">
        <x:v>North America</x:v>
      </x:c>
      <x:c r="F36" t="str">
        <x:v>Technology</x:v>
      </x:c>
      <x:c r="G36" t="str">
        <x:v>Smartphone</x:v>
      </x:c>
      <x:c r="H36" t="str">
        <x:v>Consumer</x:v>
      </x:c>
      <x:c r="I36" t="n">
        <x:v>83</x:v>
      </x:c>
      <x:c r="J36" s="10" t="n">
        <x:v>28422.56</x:v>
      </x:c>
      <x:c r="K36" s="10" t="n">
        <x:v>20446.46</x:v>
      </x:c>
      <x:c r="L36" s="10" t="n">
        <x:v>7976.1</x:v>
      </x:c>
      <x:c r="M36" s="12" t="n">
        <x:v>0.28062579678012844</x:v>
      </x:c>
    </x:row>
    <x:row r="37">
      <x:c r="A37" t="str">
        <x:v>ORD-10036</x:v>
      </x:c>
      <x:c r="B37" s="8" t="n">
        <x:v>45630</x:v>
      </x:c>
      <x:c r="C37" t="n">
        <x:v>2024</x:v>
      </x:c>
      <x:c r="D37" t="str">
        <x:v>Mexico</x:v>
      </x:c>
      <x:c r="E37" t="str">
        <x:v>North America</x:v>
      </x:c>
      <x:c r="F37" t="str">
        <x:v>Furniture</x:v>
      </x:c>
      <x:c r="G37" t="str">
        <x:v>Desk</x:v>
      </x:c>
      <x:c r="H37" t="str">
        <x:v>Consumer</x:v>
      </x:c>
      <x:c r="I37" t="n">
        <x:v>71</x:v>
      </x:c>
      <x:c r="J37" s="10" t="n">
        <x:v>18235.72</x:v>
      </x:c>
      <x:c r="K37" s="10" t="n">
        <x:v>13262.55</x:v>
      </x:c>
      <x:c r="L37" s="10" t="n">
        <x:v>4973.17</x:v>
      </x:c>
      <x:c r="M37" s="12" t="n">
        <x:v>0.2727160270962048</x:v>
      </x:c>
    </x:row>
    <x:row r="38">
      <x:c r="A38" t="str">
        <x:v>ORD-10037</x:v>
      </x:c>
      <x:c r="B38" s="8" t="n">
        <x:v>45307</x:v>
      </x:c>
      <x:c r="C38" t="n">
        <x:v>2024</x:v>
      </x:c>
      <x:c r="D38" t="str">
        <x:v>Brazil</x:v>
      </x:c>
      <x:c r="E38" t="str">
        <x:v>South America</x:v>
      </x:c>
      <x:c r="F38" t="str">
        <x:v>Technology</x:v>
      </x:c>
      <x:c r="G38" t="str">
        <x:v>Laptop</x:v>
      </x:c>
      <x:c r="H38" t="str">
        <x:v>Consumer</x:v>
      </x:c>
      <x:c r="I38" t="n">
        <x:v>111</x:v>
      </x:c>
      <x:c r="J38" s="10" t="n">
        <x:v>55769.48</x:v>
      </x:c>
      <x:c r="K38" s="10" t="n">
        <x:v>41829.49</x:v>
      </x:c>
      <x:c r="L38" s="10" t="n">
        <x:v>13939.99</x:v>
      </x:c>
      <x:c r="M38" s="12" t="n">
        <x:v>0.24995733327246955</x:v>
      </x:c>
    </x:row>
    <x:row r="39">
      <x:c r="A39" t="str">
        <x:v>ORD-10038</x:v>
      </x:c>
      <x:c r="B39" s="8" t="n">
        <x:v>45335</x:v>
      </x:c>
      <x:c r="C39" t="n">
        <x:v>2024</x:v>
      </x:c>
      <x:c r="D39" t="str">
        <x:v>Brazil</x:v>
      </x:c>
      <x:c r="E39" t="str">
        <x:v>South America</x:v>
      </x:c>
      <x:c r="F39" t="str">
        <x:v>Furniture</x:v>
      </x:c>
      <x:c r="G39" t="str">
        <x:v>Desk</x:v>
      </x:c>
      <x:c r="H39" t="str">
        <x:v>Corporate</x:v>
      </x:c>
      <x:c r="I39" t="n">
        <x:v>22</x:v>
      </x:c>
      <x:c r="J39" s="10" t="n">
        <x:v>4612.28</x:v>
      </x:c>
      <x:c r="K39" s="10" t="n">
        <x:v>3827</x:v>
      </x:c>
      <x:c r="L39" s="10" t="n">
        <x:v>785.28</x:v>
      </x:c>
      <x:c r="M39" s="12" t="n">
        <x:v>0.17025864540217114</x:v>
      </x:c>
    </x:row>
    <x:row r="40">
      <x:c r="A40" t="str">
        <x:v>ORD-10039</x:v>
      </x:c>
      <x:c r="B40" s="8" t="n">
        <x:v>45377</x:v>
      </x:c>
      <x:c r="C40" t="n">
        <x:v>2024</x:v>
      </x:c>
      <x:c r="D40" t="str">
        <x:v>Brazil</x:v>
      </x:c>
      <x:c r="E40" t="str">
        <x:v>South America</x:v>
      </x:c>
      <x:c r="F40" t="str">
        <x:v>Furniture</x:v>
      </x:c>
      <x:c r="G40" t="str">
        <x:v>Storage Cabinet</x:v>
      </x:c>
      <x:c r="H40" t="str">
        <x:v>Corporate</x:v>
      </x:c>
      <x:c r="I40" t="n">
        <x:v>69</x:v>
      </x:c>
      <x:c r="J40" s="10" t="n">
        <x:v>19905.46</x:v>
      </x:c>
      <x:c r="K40" s="10" t="n">
        <x:v>14776.6</x:v>
      </x:c>
      <x:c r="L40" s="10" t="n">
        <x:v>5128.85</x:v>
      </x:c>
      <x:c r="M40" s="12" t="n">
        <x:v>0.25766063808985595</x:v>
      </x:c>
    </x:row>
    <x:row r="41">
      <x:c r="A41" t="str">
        <x:v>ORD-10040</x:v>
      </x:c>
      <x:c r="B41" s="8" t="n">
        <x:v>45401</x:v>
      </x:c>
      <x:c r="C41" t="n">
        <x:v>2024</x:v>
      </x:c>
      <x:c r="D41" t="str">
        <x:v>Brazil</x:v>
      </x:c>
      <x:c r="E41" t="str">
        <x:v>South America</x:v>
      </x:c>
      <x:c r="F41" t="str">
        <x:v>Office Supplies</x:v>
      </x:c>
      <x:c r="G41" t="str">
        <x:v>Desk Organizer</x:v>
      </x:c>
      <x:c r="H41" t="str">
        <x:v>Consumer</x:v>
      </x:c>
      <x:c r="I41" t="n">
        <x:v>39</x:v>
      </x:c>
      <x:c r="J41" s="10" t="n">
        <x:v>2578.75</x:v>
      </x:c>
      <x:c r="K41" s="10" t="n">
        <x:v>1943.74</x:v>
      </x:c>
      <x:c r="L41" s="10" t="n">
        <x:v>635</x:v>
      </x:c>
      <x:c r="M41" s="12" t="n">
        <x:v>0.246245123796299</x:v>
      </x:c>
    </x:row>
    <x:row r="42">
      <x:c r="A42" t="str">
        <x:v>ORD-10041</x:v>
      </x:c>
      <x:c r="B42" s="8" t="n">
        <x:v>45429</x:v>
      </x:c>
      <x:c r="C42" t="n">
        <x:v>2024</x:v>
      </x:c>
      <x:c r="D42" t="str">
        <x:v>Brazil</x:v>
      </x:c>
      <x:c r="E42" t="str">
        <x:v>South America</x:v>
      </x:c>
      <x:c r="F42" t="str">
        <x:v>Office Supplies</x:v>
      </x:c>
      <x:c r="G42" t="str">
        <x:v>Printer Paper</x:v>
      </x:c>
      <x:c r="H42" t="str">
        <x:v>Home Office</x:v>
      </x:c>
      <x:c r="I42" t="n">
        <x:v>55</x:v>
      </x:c>
      <x:c r="J42" s="10" t="n">
        <x:v>3073.47</x:v>
      </x:c>
      <x:c r="K42" s="10" t="n">
        <x:v>2458.47</x:v>
      </x:c>
      <x:c r="L42" s="10" t="n">
        <x:v>615.01</x:v>
      </x:c>
      <x:c r="M42" s="12" t="n">
        <x:v>0.20010131133507655</x:v>
      </x:c>
    </x:row>
    <x:row r="43">
      <x:c r="A43" t="str">
        <x:v>ORD-10042</x:v>
      </x:c>
      <x:c r="B43" s="8" t="n">
        <x:v>45463</x:v>
      </x:c>
      <x:c r="C43" t="n">
        <x:v>2024</x:v>
      </x:c>
      <x:c r="D43" t="str">
        <x:v>Brazil</x:v>
      </x:c>
      <x:c r="E43" t="str">
        <x:v>South America</x:v>
      </x:c>
      <x:c r="F43" t="str">
        <x:v>Office Supplies</x:v>
      </x:c>
      <x:c r="G43" t="str">
        <x:v>Pens</x:v>
      </x:c>
      <x:c r="H43" t="str">
        <x:v>Consumer</x:v>
      </x:c>
      <x:c r="I43" t="n">
        <x:v>80</x:v>
      </x:c>
      <x:c r="J43" s="10" t="n">
        <x:v>4548.98</x:v>
      </x:c>
      <x:c r="K43" s="10" t="n">
        <x:v>3856.18</x:v>
      </x:c>
      <x:c r="L43" s="10" t="n">
        <x:v>692.81</x:v>
      </x:c>
      <x:c r="M43" s="12" t="n">
        <x:v>0.15229899531768676</x:v>
      </x:c>
    </x:row>
    <x:row r="44">
      <x:c r="A44" t="str">
        <x:v>ORD-10043</x:v>
      </x:c>
      <x:c r="B44" s="8" t="n">
        <x:v>45492</x:v>
      </x:c>
      <x:c r="C44" t="n">
        <x:v>2024</x:v>
      </x:c>
      <x:c r="D44" t="str">
        <x:v>Brazil</x:v>
      </x:c>
      <x:c r="E44" t="str">
        <x:v>South America</x:v>
      </x:c>
      <x:c r="F44" t="str">
        <x:v>Technology</x:v>
      </x:c>
      <x:c r="G44" t="str">
        <x:v>Smartphone</x:v>
      </x:c>
      <x:c r="H44" t="str">
        <x:v>Corporate</x:v>
      </x:c>
      <x:c r="I44" t="n">
        <x:v>30</x:v>
      </x:c>
      <x:c r="J44" s="10" t="n">
        <x:v>15740.04</x:v>
      </x:c>
      <x:c r="K44" s="10" t="n">
        <x:v>11043.83</x:v>
      </x:c>
      <x:c r="L44" s="10" t="n">
        <x:v>4696.22</x:v>
      </x:c>
      <x:c r="M44" s="12" t="n">
        <x:v>0.29836104921658224</x:v>
      </x:c>
    </x:row>
    <x:row r="45">
      <x:c r="A45" t="str">
        <x:v>ORD-10044</x:v>
      </x:c>
      <x:c r="B45" s="8" t="n">
        <x:v>45521</x:v>
      </x:c>
      <x:c r="C45" t="n">
        <x:v>2024</x:v>
      </x:c>
      <x:c r="D45" t="str">
        <x:v>Brazil</x:v>
      </x:c>
      <x:c r="E45" t="str">
        <x:v>South America</x:v>
      </x:c>
      <x:c r="F45" t="str">
        <x:v>Office Supplies</x:v>
      </x:c>
      <x:c r="G45" t="str">
        <x:v>Printer Paper</x:v>
      </x:c>
      <x:c r="H45" t="str">
        <x:v>Home Office</x:v>
      </x:c>
      <x:c r="I45" t="n">
        <x:v>25</x:v>
      </x:c>
      <x:c r="J45" s="10" t="n">
        <x:v>1783.98</x:v>
      </x:c>
      <x:c r="K45" s="10" t="n">
        <x:v>1427.11</x:v>
      </x:c>
      <x:c r="L45" s="10" t="n">
        <x:v>356.87</x:v>
      </x:c>
      <x:c r="M45" s="12" t="n">
        <x:v>0.20004067471494702</x:v>
      </x:c>
    </x:row>
    <x:row r="46">
      <x:c r="A46" t="str">
        <x:v>ORD-10045</x:v>
      </x:c>
      <x:c r="B46" s="8" t="n">
        <x:v>45548</x:v>
      </x:c>
      <x:c r="C46" t="n">
        <x:v>2024</x:v>
      </x:c>
      <x:c r="D46" t="str">
        <x:v>Brazil</x:v>
      </x:c>
      <x:c r="E46" t="str">
        <x:v>South America</x:v>
      </x:c>
      <x:c r="F46" t="str">
        <x:v>Furniture</x:v>
      </x:c>
      <x:c r="G46" t="str">
        <x:v>Bookshelf</x:v>
      </x:c>
      <x:c r="H46" t="str">
        <x:v>Consumer</x:v>
      </x:c>
      <x:c r="I46" t="n">
        <x:v>100</x:v>
      </x:c>
      <x:c r="J46" s="10" t="n">
        <x:v>29138.96</x:v>
      </x:c>
      <x:c r="K46" s="10" t="n">
        <x:v>23350.73</x:v>
      </x:c>
      <x:c r="L46" s="10" t="n">
        <x:v>5788.23</x:v>
      </x:c>
      <x:c r="M46" s="12" t="n">
        <x:v>0.19864231431390153</x:v>
      </x:c>
    </x:row>
    <x:row r="47">
      <x:c r="A47" t="str">
        <x:v>ORD-10046</x:v>
      </x:c>
      <x:c r="B47" s="8" t="n">
        <x:v>45566</x:v>
      </x:c>
      <x:c r="C47" t="n">
        <x:v>2024</x:v>
      </x:c>
      <x:c r="D47" t="str">
        <x:v>Brazil</x:v>
      </x:c>
      <x:c r="E47" t="str">
        <x:v>South America</x:v>
      </x:c>
      <x:c r="F47" t="str">
        <x:v>Technology</x:v>
      </x:c>
      <x:c r="G47" t="str">
        <x:v>Monitor</x:v>
      </x:c>
      <x:c r="H47" t="str">
        <x:v>Corporate</x:v>
      </x:c>
      <x:c r="I47" t="n">
        <x:v>55</x:v>
      </x:c>
      <x:c r="J47" s="10" t="n">
        <x:v>28691.13</x:v>
      </x:c>
      <x:c r="K47" s="10" t="n">
        <x:v>18870.5</x:v>
      </x:c>
      <x:c r="L47" s="10" t="n">
        <x:v>9820.63</x:v>
      </x:c>
      <x:c r="M47" s="12" t="n">
        <x:v>0.34228811449337876</x:v>
      </x:c>
    </x:row>
    <x:row r="48">
      <x:c r="A48" t="str">
        <x:v>ORD-10047</x:v>
      </x:c>
      <x:c r="B48" s="8" t="n">
        <x:v>45608</x:v>
      </x:c>
      <x:c r="C48" t="n">
        <x:v>2024</x:v>
      </x:c>
      <x:c r="D48" t="str">
        <x:v>Brazil</x:v>
      </x:c>
      <x:c r="E48" t="str">
        <x:v>South America</x:v>
      </x:c>
      <x:c r="F48" t="str">
        <x:v>Furniture</x:v>
      </x:c>
      <x:c r="G48" t="str">
        <x:v>Office Chair</x:v>
      </x:c>
      <x:c r="H48" t="str">
        <x:v>Consumer</x:v>
      </x:c>
      <x:c r="I48" t="n">
        <x:v>83</x:v>
      </x:c>
      <x:c r="J48" s="10" t="n">
        <x:v>17997.68</x:v>
      </x:c>
      <x:c r="K48" s="10" t="n">
        <x:v>14365.31</x:v>
      </x:c>
      <x:c r="L48" s="10" t="n">
        <x:v>3632.36</x:v>
      </x:c>
      <x:c r="M48" s="12" t="n">
        <x:v>0.2018240497700482</x:v>
      </x:c>
    </x:row>
    <x:row r="49">
      <x:c r="A49" t="str">
        <x:v>ORD-10048</x:v>
      </x:c>
      <x:c r="B49" s="8" t="n">
        <x:v>45649</x:v>
      </x:c>
      <x:c r="C49" t="n">
        <x:v>2024</x:v>
      </x:c>
      <x:c r="D49" t="str">
        <x:v>Brazil</x:v>
      </x:c>
      <x:c r="E49" t="str">
        <x:v>South America</x:v>
      </x:c>
      <x:c r="F49" t="str">
        <x:v>Technology</x:v>
      </x:c>
      <x:c r="G49" t="str">
        <x:v>Smartphone</x:v>
      </x:c>
      <x:c r="H49" t="str">
        <x:v>Corporate</x:v>
      </x:c>
      <x:c r="I49" t="n">
        <x:v>51</x:v>
      </x:c>
      <x:c r="J49" s="10" t="n">
        <x:v>17187.74</x:v>
      </x:c>
      <x:c r="K49" s="10" t="n">
        <x:v>11514.94</x:v>
      </x:c>
      <x:c r="L49" s="10" t="n">
        <x:v>5672.8</x:v>
      </x:c>
      <x:c r="M49" s="12" t="n">
        <x:v>0.33004939455677684</x:v>
      </x:c>
    </x:row>
    <x:row r="50">
      <x:c r="A50" t="str">
        <x:v>ORD-10049</x:v>
      </x:c>
      <x:c r="B50" s="8" t="n">
        <x:v>45295</x:v>
      </x:c>
      <x:c r="C50" t="n">
        <x:v>2024</x:v>
      </x:c>
      <x:c r="D50" t="str">
        <x:v>Argentina</x:v>
      </x:c>
      <x:c r="E50" t="str">
        <x:v>South America</x:v>
      </x:c>
      <x:c r="F50" t="str">
        <x:v>Furniture</x:v>
      </x:c>
      <x:c r="G50" t="str">
        <x:v>Office Chair</x:v>
      </x:c>
      <x:c r="H50" t="str">
        <x:v>Home Office</x:v>
      </x:c>
      <x:c r="I50" t="n">
        <x:v>119</x:v>
      </x:c>
      <x:c r="J50" s="10" t="n">
        <x:v>19430.37</x:v>
      </x:c>
      <x:c r="K50" s="10" t="n">
        <x:v>14731.9</x:v>
      </x:c>
      <x:c r="L50" s="10" t="n">
        <x:v>4698.47</x:v>
      </x:c>
      <x:c r="M50" s="12" t="n">
        <x:v>0.24181072473232934</x:v>
      </x:c>
    </x:row>
    <x:row r="51">
      <x:c r="A51" t="str">
        <x:v>ORD-10050</x:v>
      </x:c>
      <x:c r="B51" s="8" t="n">
        <x:v>45332</x:v>
      </x:c>
      <x:c r="C51" t="n">
        <x:v>2024</x:v>
      </x:c>
      <x:c r="D51" t="str">
        <x:v>Argentina</x:v>
      </x:c>
      <x:c r="E51" t="str">
        <x:v>South America</x:v>
      </x:c>
      <x:c r="F51" t="str">
        <x:v>Technology</x:v>
      </x:c>
      <x:c r="G51" t="str">
        <x:v>Monitor</x:v>
      </x:c>
      <x:c r="H51" t="str">
        <x:v>Consumer</x:v>
      </x:c>
      <x:c r="I51" t="n">
        <x:v>28</x:v>
      </x:c>
      <x:c r="J51" s="10" t="n">
        <x:v>8153.93</x:v>
      </x:c>
      <x:c r="K51" s="10" t="n">
        <x:v>6452.58</x:v>
      </x:c>
      <x:c r="L51" s="10" t="n">
        <x:v>1701.35</x:v>
      </x:c>
      <x:c r="M51" s="12" t="n">
        <x:v>0.20865374917299884</x:v>
      </x:c>
    </x:row>
    <x:row r="52">
      <x:c r="A52" t="str">
        <x:v>ORD-10051</x:v>
      </x:c>
      <x:c r="B52" s="8" t="n">
        <x:v>45360</x:v>
      </x:c>
      <x:c r="C52" t="n">
        <x:v>2024</x:v>
      </x:c>
      <x:c r="D52" t="str">
        <x:v>Argentina</x:v>
      </x:c>
      <x:c r="E52" t="str">
        <x:v>South America</x:v>
      </x:c>
      <x:c r="F52" t="str">
        <x:v>Office Supplies</x:v>
      </x:c>
      <x:c r="G52" t="str">
        <x:v>Pens</x:v>
      </x:c>
      <x:c r="H52" t="str">
        <x:v>Home Office</x:v>
      </x:c>
      <x:c r="I52" t="n">
        <x:v>58</x:v>
      </x:c>
      <x:c r="J52" s="10" t="n">
        <x:v>2200.46</x:v>
      </x:c>
      <x:c r="K52" s="10" t="n">
        <x:v>1834.94</x:v>
      </x:c>
      <x:c r="L52" s="10" t="n">
        <x:v>365.51</x:v>
      </x:c>
      <x:c r="M52" s="12" t="n">
        <x:v>0.1661085550662096</x:v>
      </x:c>
    </x:row>
    <x:row r="53">
      <x:c r="A53" t="str">
        <x:v>ORD-10052</x:v>
      </x:c>
      <x:c r="B53" s="8" t="n">
        <x:v>45391</x:v>
      </x:c>
      <x:c r="C53" t="n">
        <x:v>2024</x:v>
      </x:c>
      <x:c r="D53" t="str">
        <x:v>Argentina</x:v>
      </x:c>
      <x:c r="E53" t="str">
        <x:v>South America</x:v>
      </x:c>
      <x:c r="F53" t="str">
        <x:v>Office Supplies</x:v>
      </x:c>
      <x:c r="G53" t="str">
        <x:v>Desk Organizer</x:v>
      </x:c>
      <x:c r="H53" t="str">
        <x:v>Corporate</x:v>
      </x:c>
      <x:c r="I53" t="n">
        <x:v>21</x:v>
      </x:c>
      <x:c r="J53" s="10" t="n">
        <x:v>735.71</x:v>
      </x:c>
      <x:c r="K53" s="10" t="n">
        <x:v>632.1</x:v>
      </x:c>
      <x:c r="L53" s="10" t="n">
        <x:v>103.61</x:v>
      </x:c>
      <x:c r="M53" s="12" t="n">
        <x:v>0.14082909270764718</x:v>
      </x:c>
    </x:row>
    <x:row r="54">
      <x:c r="A54" t="str">
        <x:v>ORD-10053</x:v>
      </x:c>
      <x:c r="B54" s="8" t="n">
        <x:v>45418</x:v>
      </x:c>
      <x:c r="C54" t="n">
        <x:v>2024</x:v>
      </x:c>
      <x:c r="D54" t="str">
        <x:v>Argentina</x:v>
      </x:c>
      <x:c r="E54" t="str">
        <x:v>South America</x:v>
      </x:c>
      <x:c r="F54" t="str">
        <x:v>Technology</x:v>
      </x:c>
      <x:c r="G54" t="str">
        <x:v>Laptop</x:v>
      </x:c>
      <x:c r="H54" t="str">
        <x:v>Corporate</x:v>
      </x:c>
      <x:c r="I54" t="n">
        <x:v>113</x:v>
      </x:c>
      <x:c r="J54" s="10" t="n">
        <x:v>22805.73</x:v>
      </x:c>
      <x:c r="K54" s="10" t="n">
        <x:v>15791.24</x:v>
      </x:c>
      <x:c r="L54" s="10" t="n">
        <x:v>7014.49</x:v>
      </x:c>
      <x:c r="M54" s="12" t="n">
        <x:v>0.3075757544594604</x:v>
      </x:c>
    </x:row>
    <x:row r="55">
      <x:c r="A55" t="str">
        <x:v>ORD-10054</x:v>
      </x:c>
      <x:c r="B55" s="8" t="n">
        <x:v>45446</x:v>
      </x:c>
      <x:c r="C55" t="n">
        <x:v>2024</x:v>
      </x:c>
      <x:c r="D55" t="str">
        <x:v>Argentina</x:v>
      </x:c>
      <x:c r="E55" t="str">
        <x:v>South America</x:v>
      </x:c>
      <x:c r="F55" t="str">
        <x:v>Office Supplies</x:v>
      </x:c>
      <x:c r="G55" t="str">
        <x:v>Desk Organizer</x:v>
      </x:c>
      <x:c r="H55" t="str">
        <x:v>Home Office</x:v>
      </x:c>
      <x:c r="I55" t="n">
        <x:v>105</x:v>
      </x:c>
      <x:c r="J55" s="10" t="n">
        <x:v>4597.7</x:v>
      </x:c>
      <x:c r="K55" s="10" t="n">
        <x:v>4178.57</x:v>
      </x:c>
      <x:c r="L55" s="10" t="n">
        <x:v>419.13</x:v>
      </x:c>
      <x:c r="M55" s="12" t="n">
        <x:v>0.09116036395300071</x:v>
      </x:c>
    </x:row>
    <x:row r="56">
      <x:c r="A56" t="str">
        <x:v>ORD-10055</x:v>
      </x:c>
      <x:c r="B56" s="8" t="n">
        <x:v>45478</x:v>
      </x:c>
      <x:c r="C56" t="n">
        <x:v>2024</x:v>
      </x:c>
      <x:c r="D56" t="str">
        <x:v>Argentina</x:v>
      </x:c>
      <x:c r="E56" t="str">
        <x:v>South America</x:v>
      </x:c>
      <x:c r="F56" t="str">
        <x:v>Office Supplies</x:v>
      </x:c>
      <x:c r="G56" t="str">
        <x:v>Pens</x:v>
      </x:c>
      <x:c r="H56" t="str">
        <x:v>Home Office</x:v>
      </x:c>
      <x:c r="I56" t="n">
        <x:v>19</x:v>
      </x:c>
      <x:c r="J56" s="10" t="n">
        <x:v>1033.75</x:v>
      </x:c>
      <x:c r="K56" s="10" t="n">
        <x:v>868.45</x:v>
      </x:c>
      <x:c r="L56" s="10" t="n">
        <x:v>165.3</x:v>
      </x:c>
      <x:c r="M56" s="12" t="n">
        <x:v>0.15990114797877528</x:v>
      </x:c>
    </x:row>
    <x:row r="57">
      <x:c r="A57" t="str">
        <x:v>ORD-10056</x:v>
      </x:c>
      <x:c r="B57" s="8" t="n">
        <x:v>45532</x:v>
      </x:c>
      <x:c r="C57" t="n">
        <x:v>2024</x:v>
      </x:c>
      <x:c r="D57" t="str">
        <x:v>Argentina</x:v>
      </x:c>
      <x:c r="E57" t="str">
        <x:v>South America</x:v>
      </x:c>
      <x:c r="F57" t="str">
        <x:v>Furniture</x:v>
      </x:c>
      <x:c r="G57" t="str">
        <x:v>Desk</x:v>
      </x:c>
      <x:c r="H57" t="str">
        <x:v>Consumer</x:v>
      </x:c>
      <x:c r="I57" t="n">
        <x:v>54</x:v>
      </x:c>
      <x:c r="J57" s="10" t="n">
        <x:v>7889.06</x:v>
      </x:c>
      <x:c r="K57" s="10" t="n">
        <x:v>5980.14</x:v>
      </x:c>
      <x:c r="L57" s="10" t="n">
        <x:v>1908.92</x:v>
      </x:c>
      <x:c r="M57" s="12" t="n">
        <x:v>0.2419705612624785</x:v>
      </x:c>
    </x:row>
    <x:row r="58">
      <x:c r="A58" t="str">
        <x:v>ORD-10057</x:v>
      </x:c>
      <x:c r="B58" s="8" t="n">
        <x:v>45560</x:v>
      </x:c>
      <x:c r="C58" t="n">
        <x:v>2024</x:v>
      </x:c>
      <x:c r="D58" t="str">
        <x:v>Argentina</x:v>
      </x:c>
      <x:c r="E58" t="str">
        <x:v>South America</x:v>
      </x:c>
      <x:c r="F58" t="str">
        <x:v>Technology</x:v>
      </x:c>
      <x:c r="G58" t="str">
        <x:v>Monitor</x:v>
      </x:c>
      <x:c r="H58" t="str">
        <x:v>Consumer</x:v>
      </x:c>
      <x:c r="I58" t="n">
        <x:v>102</x:v>
      </x:c>
      <x:c r="J58" s="10" t="n">
        <x:v>22355.47</x:v>
      </x:c>
      <x:c r="K58" s="10" t="n">
        <x:v>17832.17</x:v>
      </x:c>
      <x:c r="L58" s="10" t="n">
        <x:v>4523.3</x:v>
      </x:c>
      <x:c r="M58" s="12" t="n">
        <x:v>0.20233523460061414</x:v>
      </x:c>
    </x:row>
    <x:row r="59">
      <x:c r="A59" t="str">
        <x:v>ORD-10058</x:v>
      </x:c>
      <x:c r="B59" s="8" t="n">
        <x:v>45593</x:v>
      </x:c>
      <x:c r="C59" t="n">
        <x:v>2024</x:v>
      </x:c>
      <x:c r="D59" t="str">
        <x:v>Argentina</x:v>
      </x:c>
      <x:c r="E59" t="str">
        <x:v>South America</x:v>
      </x:c>
      <x:c r="F59" t="str">
        <x:v>Office Supplies</x:v>
      </x:c>
      <x:c r="G59" t="str">
        <x:v>Desk Organizer</x:v>
      </x:c>
      <x:c r="H59" t="str">
        <x:v>Home Office</x:v>
      </x:c>
      <x:c r="I59" t="n">
        <x:v>110</x:v>
      </x:c>
      <x:c r="J59" s="10" t="n">
        <x:v>4032.47</x:v>
      </x:c>
      <x:c r="K59" s="10" t="n">
        <x:v>3219.58</x:v>
      </x:c>
      <x:c r="L59" s="10" t="n">
        <x:v>812.89</x:v>
      </x:c>
      <x:c r="M59" s="12" t="n">
        <x:v>0.20158572188324092</x:v>
      </x:c>
    </x:row>
    <x:row r="60">
      <x:c r="A60" t="str">
        <x:v>ORD-10059</x:v>
      </x:c>
      <x:c r="B60" s="8" t="n">
        <x:v>45622</x:v>
      </x:c>
      <x:c r="C60" t="n">
        <x:v>2024</x:v>
      </x:c>
      <x:c r="D60" t="str">
        <x:v>Argentina</x:v>
      </x:c>
      <x:c r="E60" t="str">
        <x:v>South America</x:v>
      </x:c>
      <x:c r="F60" t="str">
        <x:v>Technology</x:v>
      </x:c>
      <x:c r="G60" t="str">
        <x:v>Smartphone</x:v>
      </x:c>
      <x:c r="H60" t="str">
        <x:v>Corporate</x:v>
      </x:c>
      <x:c r="I60" t="n">
        <x:v>18</x:v>
      </x:c>
      <x:c r="J60" s="10" t="n">
        <x:v>3760.48</x:v>
      </x:c>
      <x:c r="K60" s="10" t="n">
        <x:v>2628.8</x:v>
      </x:c>
      <x:c r="L60" s="10" t="n">
        <x:v>1131.67</x:v>
      </x:c>
      <x:c r="M60" s="12" t="n">
        <x:v>0.3009384754289854</x:v>
      </x:c>
    </x:row>
    <x:row r="61">
      <x:c r="A61" t="str">
        <x:v>ORD-10060</x:v>
      </x:c>
      <x:c r="B61" s="8" t="n">
        <x:v>45654</x:v>
      </x:c>
      <x:c r="C61" t="n">
        <x:v>2024</x:v>
      </x:c>
      <x:c r="D61" t="str">
        <x:v>Argentina</x:v>
      </x:c>
      <x:c r="E61" t="str">
        <x:v>South America</x:v>
      </x:c>
      <x:c r="F61" t="str">
        <x:v>Furniture</x:v>
      </x:c>
      <x:c r="G61" t="str">
        <x:v>Desk</x:v>
      </x:c>
      <x:c r="H61" t="str">
        <x:v>Corporate</x:v>
      </x:c>
      <x:c r="I61" t="n">
        <x:v>35</x:v>
      </x:c>
      <x:c r="J61" s="10" t="n">
        <x:v>6451.96</x:v>
      </x:c>
      <x:c r="K61" s="10" t="n">
        <x:v>5529.51</x:v>
      </x:c>
      <x:c r="L61" s="10" t="n">
        <x:v>922.45</x:v>
      </x:c>
      <x:c r="M61" s="12" t="n">
        <x:v>0.14297147516835484</x:v>
      </x:c>
    </x:row>
    <x:row r="62">
      <x:c r="A62" t="str">
        <x:v>ORD-10061</x:v>
      </x:c>
      <x:c r="B62" s="8" t="n">
        <x:v>45301</x:v>
      </x:c>
      <x:c r="C62" t="n">
        <x:v>2024</x:v>
      </x:c>
      <x:c r="D62" t="str">
        <x:v>United Kingdom</x:v>
      </x:c>
      <x:c r="E62" t="str">
        <x:v>Europe</x:v>
      </x:c>
      <x:c r="F62" t="str">
        <x:v>Technology</x:v>
      </x:c>
      <x:c r="G62" t="str">
        <x:v>Headphones</x:v>
      </x:c>
      <x:c r="H62" t="str">
        <x:v>Consumer</x:v>
      </x:c>
      <x:c r="I62" t="n">
        <x:v>40</x:v>
      </x:c>
      <x:c r="J62" s="10" t="n">
        <x:v>24997.43</x:v>
      </x:c>
      <x:c r="K62" s="10" t="n">
        <x:v>17867.25</x:v>
      </x:c>
      <x:c r="L62" s="10" t="n">
        <x:v>7130.18</x:v>
      </x:c>
      <x:c r="M62" s="12" t="n">
        <x:v>0.28523638816147306</x:v>
      </x:c>
    </x:row>
    <x:row r="63">
      <x:c r="A63" t="str">
        <x:v>ORD-10062</x:v>
      </x:c>
      <x:c r="B63" s="8" t="n">
        <x:v>45350</x:v>
      </x:c>
      <x:c r="C63" t="n">
        <x:v>2024</x:v>
      </x:c>
      <x:c r="D63" t="str">
        <x:v>United Kingdom</x:v>
      </x:c>
      <x:c r="E63" t="str">
        <x:v>Europe</x:v>
      </x:c>
      <x:c r="F63" t="str">
        <x:v>Technology</x:v>
      </x:c>
      <x:c r="G63" t="str">
        <x:v>Smartphone</x:v>
      </x:c>
      <x:c r="H63" t="str">
        <x:v>Consumer</x:v>
      </x:c>
      <x:c r="I63" t="n">
        <x:v>99</x:v>
      </x:c>
      <x:c r="J63" s="10" t="n">
        <x:v>43203.84</x:v>
      </x:c>
      <x:c r="K63" s="10" t="n">
        <x:v>31565.1</x:v>
      </x:c>
      <x:c r="L63" s="10" t="n">
        <x:v>11638.75</x:v>
      </x:c>
      <x:c r="M63" s="12" t="n">
        <x:v>0.26939143414372474</x:v>
      </x:c>
    </x:row>
    <x:row r="64">
      <x:c r="A64" t="str">
        <x:v>ORD-10063</x:v>
      </x:c>
      <x:c r="B64" s="8" t="n">
        <x:v>45378</x:v>
      </x:c>
      <x:c r="C64" t="n">
        <x:v>2024</x:v>
      </x:c>
      <x:c r="D64" t="str">
        <x:v>United Kingdom</x:v>
      </x:c>
      <x:c r="E64" t="str">
        <x:v>Europe</x:v>
      </x:c>
      <x:c r="F64" t="str">
        <x:v>Technology</x:v>
      </x:c>
      <x:c r="G64" t="str">
        <x:v>Monitor</x:v>
      </x:c>
      <x:c r="H64" t="str">
        <x:v>Corporate</x:v>
      </x:c>
      <x:c r="I64" t="n">
        <x:v>97</x:v>
      </x:c>
      <x:c r="J64" s="10" t="n">
        <x:v>51608.29</x:v>
      </x:c>
      <x:c r="K64" s="10" t="n">
        <x:v>35530.13</x:v>
      </x:c>
      <x:c r="L64" s="10" t="n">
        <x:v>16078.16</x:v>
      </x:c>
      <x:c r="M64" s="12" t="n">
        <x:v>0.31154217420323155</x:v>
      </x:c>
    </x:row>
    <x:row r="65">
      <x:c r="A65" t="str">
        <x:v>ORD-10064</x:v>
      </x:c>
      <x:c r="B65" s="8" t="n">
        <x:v>45401</x:v>
      </x:c>
      <x:c r="C65" t="n">
        <x:v>2024</x:v>
      </x:c>
      <x:c r="D65" t="str">
        <x:v>United Kingdom</x:v>
      </x:c>
      <x:c r="E65" t="str">
        <x:v>Europe</x:v>
      </x:c>
      <x:c r="F65" t="str">
        <x:v>Office Supplies</x:v>
      </x:c>
      <x:c r="G65" t="str">
        <x:v>Binders</x:v>
      </x:c>
      <x:c r="H65" t="str">
        <x:v>Consumer</x:v>
      </x:c>
      <x:c r="I65" t="n">
        <x:v>29</x:v>
      </x:c>
      <x:c r="J65" s="10" t="n">
        <x:v>3330.94</x:v>
      </x:c>
      <x:c r="K65" s="10" t="n">
        <x:v>2793.51</x:v>
      </x:c>
      <x:c r="L65" s="10" t="n">
        <x:v>537.43</x:v>
      </x:c>
      <x:c r="M65" s="12" t="n">
        <x:v>0.16134582356682525</x:v>
      </x:c>
    </x:row>
    <x:row r="66">
      <x:c r="A66" t="str">
        <x:v>ORD-10065</x:v>
      </x:c>
      <x:c r="B66" s="8" t="n">
        <x:v>45423</x:v>
      </x:c>
      <x:c r="C66" t="n">
        <x:v>2024</x:v>
      </x:c>
      <x:c r="D66" t="str">
        <x:v>United Kingdom</x:v>
      </x:c>
      <x:c r="E66" t="str">
        <x:v>Europe</x:v>
      </x:c>
      <x:c r="F66" t="str">
        <x:v>Furniture</x:v>
      </x:c>
      <x:c r="G66" t="str">
        <x:v>Office Chair</x:v>
      </x:c>
      <x:c r="H66" t="str">
        <x:v>Consumer</x:v>
      </x:c>
      <x:c r="I66" t="n">
        <x:v>91</x:v>
      </x:c>
      <x:c r="J66" s="10" t="n">
        <x:v>28696.88</x:v>
      </x:c>
      <x:c r="K66" s="10" t="n">
        <x:v>21309.57</x:v>
      </x:c>
      <x:c r="L66" s="10" t="n">
        <x:v>7387.31</x:v>
      </x:c>
      <x:c r="M66" s="12" t="n">
        <x:v>0.25742540727832447</x:v>
      </x:c>
    </x:row>
    <x:row r="67">
      <x:c r="A67" t="str">
        <x:v>ORD-10066</x:v>
      </x:c>
      <x:c r="B67" s="8" t="n">
        <x:v>45457</x:v>
      </x:c>
      <x:c r="C67" t="n">
        <x:v>2024</x:v>
      </x:c>
      <x:c r="D67" t="str">
        <x:v>United Kingdom</x:v>
      </x:c>
      <x:c r="E67" t="str">
        <x:v>Europe</x:v>
      </x:c>
      <x:c r="F67" t="str">
        <x:v>Furniture</x:v>
      </x:c>
      <x:c r="G67" t="str">
        <x:v>Office Chair</x:v>
      </x:c>
      <x:c r="H67" t="str">
        <x:v>Corporate</x:v>
      </x:c>
      <x:c r="I67" t="n">
        <x:v>88</x:v>
      </x:c>
      <x:c r="J67" s="10" t="n">
        <x:v>23723.28</x:v>
      </x:c>
      <x:c r="K67" s="10" t="n">
        <x:v>19563.96</x:v>
      </x:c>
      <x:c r="L67" s="10" t="n">
        <x:v>4159.32</x:v>
      </x:c>
      <x:c r="M67" s="12" t="n">
        <x:v>0.17532638404558776</x:v>
      </x:c>
    </x:row>
    <x:row r="68">
      <x:c r="A68" t="str">
        <x:v>ORD-10067</x:v>
      </x:c>
      <x:c r="B68" s="8" t="n">
        <x:v>45484</x:v>
      </x:c>
      <x:c r="C68" t="n">
        <x:v>2024</x:v>
      </x:c>
      <x:c r="D68" t="str">
        <x:v>United Kingdom</x:v>
      </x:c>
      <x:c r="E68" t="str">
        <x:v>Europe</x:v>
      </x:c>
      <x:c r="F68" t="str">
        <x:v>Technology</x:v>
      </x:c>
      <x:c r="G68" t="str">
        <x:v>Smartphone</x:v>
      </x:c>
      <x:c r="H68" t="str">
        <x:v>Corporate</x:v>
      </x:c>
      <x:c r="I68" t="n">
        <x:v>70</x:v>
      </x:c>
      <x:c r="J68" s="10" t="n">
        <x:v>27941.21</x:v>
      </x:c>
      <x:c r="K68" s="10" t="n">
        <x:v>19287.58</x:v>
      </x:c>
      <x:c r="L68" s="10" t="n">
        <x:v>8653.63</x:v>
      </x:c>
      <x:c r="M68" s="12" t="n">
        <x:v>0.3097085221893527</x:v>
      </x:c>
    </x:row>
    <x:row r="69">
      <x:c r="A69" t="str">
        <x:v>ORD-10068</x:v>
      </x:c>
      <x:c r="B69" s="8" t="n">
        <x:v>45514</x:v>
      </x:c>
      <x:c r="C69" t="n">
        <x:v>2024</x:v>
      </x:c>
      <x:c r="D69" t="str">
        <x:v>United Kingdom</x:v>
      </x:c>
      <x:c r="E69" t="str">
        <x:v>Europe</x:v>
      </x:c>
      <x:c r="F69" t="str">
        <x:v>Office Supplies</x:v>
      </x:c>
      <x:c r="G69" t="str">
        <x:v>Binders</x:v>
      </x:c>
      <x:c r="H69" t="str">
        <x:v>Home Office</x:v>
      </x:c>
      <x:c r="I69" t="n">
        <x:v>30</x:v>
      </x:c>
      <x:c r="J69" s="10" t="n">
        <x:v>3191</x:v>
      </x:c>
      <x:c r="K69" s="10" t="n">
        <x:v>2661.17</x:v>
      </x:c>
      <x:c r="L69" s="10" t="n">
        <x:v>529.83</x:v>
      </x:c>
      <x:c r="M69" s="12" t="n">
        <x:v>0.16603867218535168</x:v>
      </x:c>
    </x:row>
    <x:row r="70">
      <x:c r="A70" t="str">
        <x:v>ORD-10069</x:v>
      </x:c>
      <x:c r="B70" s="8" t="n">
        <x:v>45542</x:v>
      </x:c>
      <x:c r="C70" t="n">
        <x:v>2024</x:v>
      </x:c>
      <x:c r="D70" t="str">
        <x:v>United Kingdom</x:v>
      </x:c>
      <x:c r="E70" t="str">
        <x:v>Europe</x:v>
      </x:c>
      <x:c r="F70" t="str">
        <x:v>Office Supplies</x:v>
      </x:c>
      <x:c r="G70" t="str">
        <x:v>Desk Organizer</x:v>
      </x:c>
      <x:c r="H70" t="str">
        <x:v>Corporate</x:v>
      </x:c>
      <x:c r="I70" t="n">
        <x:v>66</x:v>
      </x:c>
      <x:c r="J70" s="10" t="n">
        <x:v>6939.85</x:v>
      </x:c>
      <x:c r="K70" s="10" t="n">
        <x:v>5575.97</x:v>
      </x:c>
      <x:c r="L70" s="10" t="n">
        <x:v>1363.89</x:v>
      </x:c>
      <x:c r="M70" s="12" t="n">
        <x:v>0.1965294973200152</x:v>
      </x:c>
    </x:row>
    <x:row r="71">
      <x:c r="A71" t="str">
        <x:v>ORD-10070</x:v>
      </x:c>
      <x:c r="B71" s="8" t="n">
        <x:v>45575</x:v>
      </x:c>
      <x:c r="C71" t="n">
        <x:v>2024</x:v>
      </x:c>
      <x:c r="D71" t="str">
        <x:v>United Kingdom</x:v>
      </x:c>
      <x:c r="E71" t="str">
        <x:v>Europe</x:v>
      </x:c>
      <x:c r="F71" t="str">
        <x:v>Furniture</x:v>
      </x:c>
      <x:c r="G71" t="str">
        <x:v>Storage Cabinet</x:v>
      </x:c>
      <x:c r="H71" t="str">
        <x:v>Home Office</x:v>
      </x:c>
      <x:c r="I71" t="n">
        <x:v>110</x:v>
      </x:c>
      <x:c r="J71" s="10" t="n">
        <x:v>44330.57</x:v>
      </x:c>
      <x:c r="K71" s="10" t="n">
        <x:v>33520.04</x:v>
      </x:c>
      <x:c r="L71" s="10" t="n">
        <x:v>10810.53</x:v>
      </x:c>
      <x:c r="M71" s="12" t="n">
        <x:v>0.24386178991416568</x:v>
      </x:c>
    </x:row>
    <x:row r="72">
      <x:c r="A72" t="str">
        <x:v>ORD-10071</x:v>
      </x:c>
      <x:c r="B72" s="8" t="n">
        <x:v>45616</x:v>
      </x:c>
      <x:c r="C72" t="n">
        <x:v>2024</x:v>
      </x:c>
      <x:c r="D72" t="str">
        <x:v>United Kingdom</x:v>
      </x:c>
      <x:c r="E72" t="str">
        <x:v>Europe</x:v>
      </x:c>
      <x:c r="F72" t="str">
        <x:v>Furniture</x:v>
      </x:c>
      <x:c r="G72" t="str">
        <x:v>Office Chair</x:v>
      </x:c>
      <x:c r="H72" t="str">
        <x:v>Corporate</x:v>
      </x:c>
      <x:c r="I72" t="n">
        <x:v>51</x:v>
      </x:c>
      <x:c r="J72" s="10" t="n">
        <x:v>13940.66</x:v>
      </x:c>
      <x:c r="K72" s="10" t="n">
        <x:v>10256.27</x:v>
      </x:c>
      <x:c r="L72" s="10" t="n">
        <x:v>3684.39</x:v>
      </x:c>
      <x:c r="M72" s="12" t="n">
        <x:v>0.26429105929730956</x:v>
      </x:c>
    </x:row>
    <x:row r="73">
      <x:c r="A73" t="str">
        <x:v>ORD-10072</x:v>
      </x:c>
      <x:c r="B73" s="8" t="n">
        <x:v>45642</x:v>
      </x:c>
      <x:c r="C73" t="n">
        <x:v>2024</x:v>
      </x:c>
      <x:c r="D73" t="str">
        <x:v>United Kingdom</x:v>
      </x:c>
      <x:c r="E73" t="str">
        <x:v>Europe</x:v>
      </x:c>
      <x:c r="F73" t="str">
        <x:v>Office Supplies</x:v>
      </x:c>
      <x:c r="G73" t="str">
        <x:v>Binders</x:v>
      </x:c>
      <x:c r="H73" t="str">
        <x:v>Corporate</x:v>
      </x:c>
      <x:c r="I73" t="n">
        <x:v>71</x:v>
      </x:c>
      <x:c r="J73" s="10" t="n">
        <x:v>6487.74</x:v>
      </x:c>
      <x:c r="K73" s="10" t="n">
        <x:v>5477.96</x:v>
      </x:c>
      <x:c r="L73" s="10" t="n">
        <x:v>1009.78</x:v>
      </x:c>
      <x:c r="M73" s="12" t="n">
        <x:v>0.15564416811869194</x:v>
      </x:c>
    </x:row>
    <x:row r="74">
      <x:c r="A74" t="str">
        <x:v>ORD-10073</x:v>
      </x:c>
      <x:c r="B74" s="8" t="n">
        <x:v>45311</x:v>
      </x:c>
      <x:c r="C74" t="n">
        <x:v>2024</x:v>
      </x:c>
      <x:c r="D74" t="str">
        <x:v>Germany</x:v>
      </x:c>
      <x:c r="E74" t="str">
        <x:v>Europe</x:v>
      </x:c>
      <x:c r="F74" t="str">
        <x:v>Office Supplies</x:v>
      </x:c>
      <x:c r="G74" t="str">
        <x:v>Pens</x:v>
      </x:c>
      <x:c r="H74" t="str">
        <x:v>Home Office</x:v>
      </x:c>
      <x:c r="I74" t="n">
        <x:v>25</x:v>
      </x:c>
      <x:c r="J74" s="10" t="n">
        <x:v>2156.89</x:v>
      </x:c>
      <x:c r="K74" s="10" t="n">
        <x:v>1704.67</x:v>
      </x:c>
      <x:c r="L74" s="10" t="n">
        <x:v>452.22</x:v>
      </x:c>
      <x:c r="M74" s="12" t="n">
        <x:v>0.20966246035659988</x:v>
      </x:c>
    </x:row>
    <x:row r="75">
      <x:c r="A75" t="str">
        <x:v>ORD-10074</x:v>
      </x:c>
      <x:c r="B75" s="8" t="n">
        <x:v>45327</x:v>
      </x:c>
      <x:c r="C75" t="n">
        <x:v>2024</x:v>
      </x:c>
      <x:c r="D75" t="str">
        <x:v>Germany</x:v>
      </x:c>
      <x:c r="E75" t="str">
        <x:v>Europe</x:v>
      </x:c>
      <x:c r="F75" t="str">
        <x:v>Furniture</x:v>
      </x:c>
      <x:c r="G75" t="str">
        <x:v>Office Chair</x:v>
      </x:c>
      <x:c r="H75" t="str">
        <x:v>Consumer</x:v>
      </x:c>
      <x:c r="I75" t="n">
        <x:v>101</x:v>
      </x:c>
      <x:c r="J75" s="10" t="n">
        <x:v>30732.46</x:v>
      </x:c>
      <x:c r="K75" s="10" t="n">
        <x:v>22533.42</x:v>
      </x:c>
      <x:c r="L75" s="10" t="n">
        <x:v>8199.04</x:v>
      </x:c>
      <x:c r="M75" s="12" t="n">
        <x:v>0.2667875473491519</x:v>
      </x:c>
    </x:row>
    <x:row r="76">
      <x:c r="A76" t="str">
        <x:v>ORD-10075</x:v>
      </x:c>
      <x:c r="B76" s="8" t="n">
        <x:v>45366</x:v>
      </x:c>
      <x:c r="C76" t="n">
        <x:v>2024</x:v>
      </x:c>
      <x:c r="D76" t="str">
        <x:v>Germany</x:v>
      </x:c>
      <x:c r="E76" t="str">
        <x:v>Europe</x:v>
      </x:c>
      <x:c r="F76" t="str">
        <x:v>Technology</x:v>
      </x:c>
      <x:c r="G76" t="str">
        <x:v>Laptop</x:v>
      </x:c>
      <x:c r="H76" t="str">
        <x:v>Consumer</x:v>
      </x:c>
      <x:c r="I76" t="n">
        <x:v>75</x:v>
      </x:c>
      <x:c r="J76" s="10" t="n">
        <x:v>43972.6</x:v>
      </x:c>
      <x:c r="K76" s="10" t="n">
        <x:v>29803.8</x:v>
      </x:c>
      <x:c r="L76" s="10" t="n">
        <x:v>14168.79</x:v>
      </x:c>
      <x:c r="M76" s="12" t="n">
        <x:v>0.3222187206800235</x:v>
      </x:c>
    </x:row>
    <x:row r="77">
      <x:c r="A77" t="str">
        <x:v>ORD-10076</x:v>
      </x:c>
      <x:c r="B77" s="8" t="n">
        <x:v>45387</x:v>
      </x:c>
      <x:c r="C77" t="n">
        <x:v>2024</x:v>
      </x:c>
      <x:c r="D77" t="str">
        <x:v>Germany</x:v>
      </x:c>
      <x:c r="E77" t="str">
        <x:v>Europe</x:v>
      </x:c>
      <x:c r="F77" t="str">
        <x:v>Furniture</x:v>
      </x:c>
      <x:c r="G77" t="str">
        <x:v>Desk</x:v>
      </x:c>
      <x:c r="H77" t="str">
        <x:v>Home Office</x:v>
      </x:c>
      <x:c r="I77" t="n">
        <x:v>104</x:v>
      </x:c>
      <x:c r="J77" s="10" t="n">
        <x:v>33137.08</x:v>
      </x:c>
      <x:c r="K77" s="10" t="n">
        <x:v>25914.58</x:v>
      </x:c>
      <x:c r="L77" s="10" t="n">
        <x:v>7222.5</x:v>
      </x:c>
      <x:c r="M77" s="12" t="n">
        <x:v>0.2179583435451845</x:v>
      </x:c>
    </x:row>
    <x:row r="78">
      <x:c r="A78" t="str">
        <x:v>ORD-10077</x:v>
      </x:c>
      <x:c r="B78" s="8" t="n">
        <x:v>45435</x:v>
      </x:c>
      <x:c r="C78" t="n">
        <x:v>2024</x:v>
      </x:c>
      <x:c r="D78" t="str">
        <x:v>Germany</x:v>
      </x:c>
      <x:c r="E78" t="str">
        <x:v>Europe</x:v>
      </x:c>
      <x:c r="F78" t="str">
        <x:v>Office Supplies</x:v>
      </x:c>
      <x:c r="G78" t="str">
        <x:v>Printer Paper</x:v>
      </x:c>
      <x:c r="H78" t="str">
        <x:v>Consumer</x:v>
      </x:c>
      <x:c r="I78" t="n">
        <x:v>114</x:v>
      </x:c>
      <x:c r="J78" s="10" t="n">
        <x:v>10741.87</x:v>
      </x:c>
      <x:c r="K78" s="10" t="n">
        <x:v>9118.71</x:v>
      </x:c>
      <x:c r="L78" s="10" t="n">
        <x:v>1623.17</x:v>
      </x:c>
      <x:c r="M78" s="12" t="n">
        <x:v>0.1511064018047839</x:v>
      </x:c>
    </x:row>
    <x:row r="79">
      <x:c r="A79" t="str">
        <x:v>ORD-10078</x:v>
      </x:c>
      <x:c r="B79" s="8" t="n">
        <x:v>45458</x:v>
      </x:c>
      <x:c r="C79" t="n">
        <x:v>2024</x:v>
      </x:c>
      <x:c r="D79" t="str">
        <x:v>Germany</x:v>
      </x:c>
      <x:c r="E79" t="str">
        <x:v>Europe</x:v>
      </x:c>
      <x:c r="F79" t="str">
        <x:v>Office Supplies</x:v>
      </x:c>
      <x:c r="G79" t="str">
        <x:v>Desk Organizer</x:v>
      </x:c>
      <x:c r="H79" t="str">
        <x:v>Consumer</x:v>
      </x:c>
      <x:c r="I79" t="n">
        <x:v>86</x:v>
      </x:c>
      <x:c r="J79" s="10" t="n">
        <x:v>7252.37</x:v>
      </x:c>
      <x:c r="K79" s="10" t="n">
        <x:v>5571.27</x:v>
      </x:c>
      <x:c r="L79" s="10" t="n">
        <x:v>1681.1</x:v>
      </x:c>
      <x:c r="M79" s="12" t="n">
        <x:v>0.23180036168219917</x:v>
      </x:c>
    </x:row>
    <x:row r="80">
      <x:c r="A80" t="str">
        <x:v>ORD-10079</x:v>
      </x:c>
      <x:c r="B80" s="8" t="n">
        <x:v>45498</x:v>
      </x:c>
      <x:c r="C80" t="n">
        <x:v>2024</x:v>
      </x:c>
      <x:c r="D80" t="str">
        <x:v>Germany</x:v>
      </x:c>
      <x:c r="E80" t="str">
        <x:v>Europe</x:v>
      </x:c>
      <x:c r="F80" t="str">
        <x:v>Technology</x:v>
      </x:c>
      <x:c r="G80" t="str">
        <x:v>Headphones</x:v>
      </x:c>
      <x:c r="H80" t="str">
        <x:v>Home Office</x:v>
      </x:c>
      <x:c r="I80" t="n">
        <x:v>82</x:v>
      </x:c>
      <x:c r="J80" s="10" t="n">
        <x:v>57804.76</x:v>
      </x:c>
      <x:c r="K80" s="10" t="n">
        <x:v>40379.27</x:v>
      </x:c>
      <x:c r="L80" s="10" t="n">
        <x:v>17425.49</x:v>
      </x:c>
      <x:c r="M80" s="12" t="n">
        <x:v>0.3014542782163303</x:v>
      </x:c>
    </x:row>
    <x:row r="81">
      <x:c r="A81" t="str">
        <x:v>ORD-10080</x:v>
      </x:c>
      <x:c r="B81" s="8" t="n">
        <x:v>45520</x:v>
      </x:c>
      <x:c r="C81" t="n">
        <x:v>2024</x:v>
      </x:c>
      <x:c r="D81" t="str">
        <x:v>Germany</x:v>
      </x:c>
      <x:c r="E81" t="str">
        <x:v>Europe</x:v>
      </x:c>
      <x:c r="F81" t="str">
        <x:v>Furniture</x:v>
      </x:c>
      <x:c r="G81" t="str">
        <x:v>Storage Cabinet</x:v>
      </x:c>
      <x:c r="H81" t="str">
        <x:v>Home Office</x:v>
      </x:c>
      <x:c r="I81" t="n">
        <x:v>72</x:v>
      </x:c>
      <x:c r="J81" s="10" t="n">
        <x:v>30146.8</x:v>
      </x:c>
      <x:c r="K81" s="10" t="n">
        <x:v>22331.59</x:v>
      </x:c>
      <x:c r="L81" s="10" t="n">
        <x:v>7815.22</x:v>
      </x:c>
      <x:c r="M81" s="12" t="n">
        <x:v>0.2592386530591502</x:v>
      </x:c>
    </x:row>
    <x:row r="82">
      <x:c r="A82" t="str">
        <x:v>ORD-10081</x:v>
      </x:c>
      <x:c r="B82" s="8" t="n">
        <x:v>45551</x:v>
      </x:c>
      <x:c r="C82" t="n">
        <x:v>2024</x:v>
      </x:c>
      <x:c r="D82" t="str">
        <x:v>Germany</x:v>
      </x:c>
      <x:c r="E82" t="str">
        <x:v>Europe</x:v>
      </x:c>
      <x:c r="F82" t="str">
        <x:v>Furniture</x:v>
      </x:c>
      <x:c r="G82" t="str">
        <x:v>Bookshelf</x:v>
      </x:c>
      <x:c r="H82" t="str">
        <x:v>Consumer</x:v>
      </x:c>
      <x:c r="I82" t="n">
        <x:v>96</x:v>
      </x:c>
      <x:c r="J82" s="10" t="n">
        <x:v>28591.27</x:v>
      </x:c>
      <x:c r="K82" s="10" t="n">
        <x:v>21062.59</x:v>
      </x:c>
      <x:c r="L82" s="10" t="n">
        <x:v>7528.68</x:v>
      </x:c>
      <x:c r="M82" s="12" t="n">
        <x:v>0.2633209802400766</x:v>
      </x:c>
    </x:row>
    <x:row r="83">
      <x:c r="A83" t="str">
        <x:v>ORD-10082</x:v>
      </x:c>
      <x:c r="B83" s="8" t="n">
        <x:v>45574</x:v>
      </x:c>
      <x:c r="C83" t="n">
        <x:v>2024</x:v>
      </x:c>
      <x:c r="D83" t="str">
        <x:v>Germany</x:v>
      </x:c>
      <x:c r="E83" t="str">
        <x:v>Europe</x:v>
      </x:c>
      <x:c r="F83" t="str">
        <x:v>Office Supplies</x:v>
      </x:c>
      <x:c r="G83" t="str">
        <x:v>Pens</x:v>
      </x:c>
      <x:c r="H83" t="str">
        <x:v>Corporate</x:v>
      </x:c>
      <x:c r="I83" t="n">
        <x:v>71</x:v>
      </x:c>
      <x:c r="J83" s="10" t="n">
        <x:v>5301.64</x:v>
      </x:c>
      <x:c r="K83" s="10" t="n">
        <x:v>4430.64</x:v>
      </x:c>
      <x:c r="L83" s="10" t="n">
        <x:v>870.99</x:v>
      </x:c>
      <x:c r="M83" s="12" t="n">
        <x:v>0.16428737810357832</x:v>
      </x:c>
    </x:row>
    <x:row r="84">
      <x:c r="A84" t="str">
        <x:v>ORD-10083</x:v>
      </x:c>
      <x:c r="B84" s="8" t="n">
        <x:v>45619</x:v>
      </x:c>
      <x:c r="C84" t="n">
        <x:v>2024</x:v>
      </x:c>
      <x:c r="D84" t="str">
        <x:v>Germany</x:v>
      </x:c>
      <x:c r="E84" t="str">
        <x:v>Europe</x:v>
      </x:c>
      <x:c r="F84" t="str">
        <x:v>Furniture</x:v>
      </x:c>
      <x:c r="G84" t="str">
        <x:v>Bookshelf</x:v>
      </x:c>
      <x:c r="H84" t="str">
        <x:v>Home Office</x:v>
      </x:c>
      <x:c r="I84" t="n">
        <x:v>25</x:v>
      </x:c>
      <x:c r="J84" s="10" t="n">
        <x:v>6768.32</x:v>
      </x:c>
      <x:c r="K84" s="10" t="n">
        <x:v>5429.88</x:v>
      </x:c>
      <x:c r="L84" s="10" t="n">
        <x:v>1338.45</x:v>
      </x:c>
      <x:c r="M84" s="12" t="n">
        <x:v>0.19775137756738245</x:v>
      </x:c>
    </x:row>
    <x:row r="85">
      <x:c r="A85" t="str">
        <x:v>ORD-10084</x:v>
      </x:c>
      <x:c r="B85" s="8" t="n">
        <x:v>45640</x:v>
      </x:c>
      <x:c r="C85" t="n">
        <x:v>2024</x:v>
      </x:c>
      <x:c r="D85" t="str">
        <x:v>Germany</x:v>
      </x:c>
      <x:c r="E85" t="str">
        <x:v>Europe</x:v>
      </x:c>
      <x:c r="F85" t="str">
        <x:v>Technology</x:v>
      </x:c>
      <x:c r="G85" t="str">
        <x:v>Smartphone</x:v>
      </x:c>
      <x:c r="H85" t="str">
        <x:v>Consumer</x:v>
      </x:c>
      <x:c r="I85" t="n">
        <x:v>68</x:v>
      </x:c>
      <x:c r="J85" s="10" t="n">
        <x:v>35505.78</x:v>
      </x:c>
      <x:c r="K85" s="10" t="n">
        <x:v>25027.55</x:v>
      </x:c>
      <x:c r="L85" s="10" t="n">
        <x:v>10478.23</x:v>
      </x:c>
      <x:c r="M85" s="12" t="n">
        <x:v>0.2951133368604698</x:v>
      </x:c>
    </x:row>
    <x:row r="86">
      <x:c r="A86" t="str">
        <x:v>ORD-10085</x:v>
      </x:c>
      <x:c r="B86" s="8" t="n">
        <x:v>45314</x:v>
      </x:c>
      <x:c r="C86" t="n">
        <x:v>2024</x:v>
      </x:c>
      <x:c r="D86" t="str">
        <x:v>France</x:v>
      </x:c>
      <x:c r="E86" t="str">
        <x:v>Europe</x:v>
      </x:c>
      <x:c r="F86" t="str">
        <x:v>Technology</x:v>
      </x:c>
      <x:c r="G86" t="str">
        <x:v>Smartphone</x:v>
      </x:c>
      <x:c r="H86" t="str">
        <x:v>Corporate</x:v>
      </x:c>
      <x:c r="I86" t="n">
        <x:v>64</x:v>
      </x:c>
      <x:c r="J86" s="10" t="n">
        <x:v>38228.56</x:v>
      </x:c>
      <x:c r="K86" s="10" t="n">
        <x:v>26756.57</x:v>
      </x:c>
      <x:c r="L86" s="10" t="n">
        <x:v>11471.99</x:v>
      </x:c>
      <x:c r="M86" s="12" t="n">
        <x:v>0.300089529704507</x:v>
      </x:c>
    </x:row>
    <x:row r="87">
      <x:c r="A87" t="str">
        <x:v>ORD-10086</x:v>
      </x:c>
      <x:c r="B87" s="8" t="n">
        <x:v>45335</x:v>
      </x:c>
      <x:c r="C87" t="n">
        <x:v>2024</x:v>
      </x:c>
      <x:c r="D87" t="str">
        <x:v>France</x:v>
      </x:c>
      <x:c r="E87" t="str">
        <x:v>Europe</x:v>
      </x:c>
      <x:c r="F87" t="str">
        <x:v>Technology</x:v>
      </x:c>
      <x:c r="G87" t="str">
        <x:v>Headphones</x:v>
      </x:c>
      <x:c r="H87" t="str">
        <x:v>Corporate</x:v>
      </x:c>
      <x:c r="I87" t="n">
        <x:v>15</x:v>
      </x:c>
      <x:c r="J87" s="10" t="n">
        <x:v>9117.42</x:v>
      </x:c>
      <x:c r="K87" s="10" t="n">
        <x:v>6693.7</x:v>
      </x:c>
      <x:c r="L87" s="10" t="n">
        <x:v>2423.72</x:v>
      </x:c>
      <x:c r="M87" s="12" t="n">
        <x:v>0.265833518284686</x:v>
      </x:c>
    </x:row>
    <x:row r="88">
      <x:c r="A88" t="str">
        <x:v>ORD-10087</x:v>
      </x:c>
      <x:c r="B88" s="8" t="n">
        <x:v>45364</x:v>
      </x:c>
      <x:c r="C88" t="n">
        <x:v>2024</x:v>
      </x:c>
      <x:c r="D88" t="str">
        <x:v>France</x:v>
      </x:c>
      <x:c r="E88" t="str">
        <x:v>Europe</x:v>
      </x:c>
      <x:c r="F88" t="str">
        <x:v>Furniture</x:v>
      </x:c>
      <x:c r="G88" t="str">
        <x:v>Desk</x:v>
      </x:c>
      <x:c r="H88" t="str">
        <x:v>Corporate</x:v>
      </x:c>
      <x:c r="I88" t="n">
        <x:v>43</x:v>
      </x:c>
      <x:c r="J88" s="10" t="n">
        <x:v>11237.44</x:v>
      </x:c>
      <x:c r="K88" s="10" t="n">
        <x:v>8672.19</x:v>
      </x:c>
      <x:c r="L88" s="10" t="n">
        <x:v>2565.25</x:v>
      </x:c>
      <x:c r="M88" s="12" t="n">
        <x:v>0.22827703925582002</x:v>
      </x:c>
    </x:row>
    <x:row r="89">
      <x:c r="A89" t="str">
        <x:v>ORD-10088</x:v>
      </x:c>
      <x:c r="B89" s="8" t="n">
        <x:v>45402</x:v>
      </x:c>
      <x:c r="C89" t="n">
        <x:v>2024</x:v>
      </x:c>
      <x:c r="D89" t="str">
        <x:v>France</x:v>
      </x:c>
      <x:c r="E89" t="str">
        <x:v>Europe</x:v>
      </x:c>
      <x:c r="F89" t="str">
        <x:v>Furniture</x:v>
      </x:c>
      <x:c r="G89" t="str">
        <x:v>Storage Cabinet</x:v>
      </x:c>
      <x:c r="H89" t="str">
        <x:v>Home Office</x:v>
      </x:c>
      <x:c r="I89" t="n">
        <x:v>36</x:v>
      </x:c>
      <x:c r="J89" s="10" t="n">
        <x:v>12914.31</x:v>
      </x:c>
      <x:c r="K89" s="10" t="n">
        <x:v>9293.85</x:v>
      </x:c>
      <x:c r="L89" s="10" t="n">
        <x:v>3620.46</x:v>
      </x:c>
      <x:c r="M89" s="12" t="n">
        <x:v>0.28034499448027717</x:v>
      </x:c>
    </x:row>
    <x:row r="90">
      <x:c r="A90" t="str">
        <x:v>ORD-10089</x:v>
      </x:c>
      <x:c r="B90" s="8" t="n">
        <x:v>45433</x:v>
      </x:c>
      <x:c r="C90" t="n">
        <x:v>2024</x:v>
      </x:c>
      <x:c r="D90" t="str">
        <x:v>France</x:v>
      </x:c>
      <x:c r="E90" t="str">
        <x:v>Europe</x:v>
      </x:c>
      <x:c r="F90" t="str">
        <x:v>Office Supplies</x:v>
      </x:c>
      <x:c r="G90" t="str">
        <x:v>Printer Paper</x:v>
      </x:c>
      <x:c r="H90" t="str">
        <x:v>Corporate</x:v>
      </x:c>
      <x:c r="I90" t="n">
        <x:v>90</x:v>
      </x:c>
      <x:c r="J90" s="10" t="n">
        <x:v>8083.12</x:v>
      </x:c>
      <x:c r="K90" s="10" t="n">
        <x:v>7006.02</x:v>
      </x:c>
      <x:c r="L90" s="10" t="n">
        <x:v>1077.09</x:v>
      </x:c>
      <x:c r="M90" s="12" t="n">
        <x:v>0.13325224556083748</x:v>
      </x:c>
    </x:row>
    <x:row r="91">
      <x:c r="A91" t="str">
        <x:v>ORD-10090</x:v>
      </x:c>
      <x:c r="B91" s="8" t="n">
        <x:v>45450</x:v>
      </x:c>
      <x:c r="C91" t="n">
        <x:v>2024</x:v>
      </x:c>
      <x:c r="D91" t="str">
        <x:v>France</x:v>
      </x:c>
      <x:c r="E91" t="str">
        <x:v>Europe</x:v>
      </x:c>
      <x:c r="F91" t="str">
        <x:v>Furniture</x:v>
      </x:c>
      <x:c r="G91" t="str">
        <x:v>Desk</x:v>
      </x:c>
      <x:c r="H91" t="str">
        <x:v>Corporate</x:v>
      </x:c>
      <x:c r="I91" t="n">
        <x:v>38</x:v>
      </x:c>
      <x:c r="J91" s="10" t="n">
        <x:v>8478.9</x:v>
      </x:c>
      <x:c r="K91" s="10" t="n">
        <x:v>6651.76</x:v>
      </x:c>
      <x:c r="L91" s="10" t="n">
        <x:v>1827.14</x:v>
      </x:c>
      <x:c r="M91" s="12" t="n">
        <x:v>0.21549246370257677</x:v>
      </x:c>
    </x:row>
    <x:row r="92">
      <x:c r="A92" t="str">
        <x:v>ORD-10091</x:v>
      </x:c>
      <x:c r="B92" s="8" t="n">
        <x:v>45500</x:v>
      </x:c>
      <x:c r="C92" t="n">
        <x:v>2024</x:v>
      </x:c>
      <x:c r="D92" t="str">
        <x:v>France</x:v>
      </x:c>
      <x:c r="E92" t="str">
        <x:v>Europe</x:v>
      </x:c>
      <x:c r="F92" t="str">
        <x:v>Furniture</x:v>
      </x:c>
      <x:c r="G92" t="str">
        <x:v>Bookshelf</x:v>
      </x:c>
      <x:c r="H92" t="str">
        <x:v>Corporate</x:v>
      </x:c>
      <x:c r="I92" t="n">
        <x:v>112</x:v>
      </x:c>
      <x:c r="J92" s="10" t="n">
        <x:v>40929.98</x:v>
      </x:c>
      <x:c r="K92" s="10" t="n">
        <x:v>32605.2</x:v>
      </x:c>
      <x:c r="L92" s="10" t="n">
        <x:v>8324.78</x:v>
      </x:c>
      <x:c r="M92" s="12" t="n">
        <x:v>0.20339079387665673</x:v>
      </x:c>
    </x:row>
    <x:row r="93">
      <x:c r="A93" t="str">
        <x:v>ORD-10092</x:v>
      </x:c>
      <x:c r="B93" s="8" t="n">
        <x:v>45516</x:v>
      </x:c>
      <x:c r="C93" t="n">
        <x:v>2024</x:v>
      </x:c>
      <x:c r="D93" t="str">
        <x:v>France</x:v>
      </x:c>
      <x:c r="E93" t="str">
        <x:v>Europe</x:v>
      </x:c>
      <x:c r="F93" t="str">
        <x:v>Furniture</x:v>
      </x:c>
      <x:c r="G93" t="str">
        <x:v>Bookshelf</x:v>
      </x:c>
      <x:c r="H93" t="str">
        <x:v>Consumer</x:v>
      </x:c>
      <x:c r="I93" t="n">
        <x:v>75</x:v>
      </x:c>
      <x:c r="J93" s="10" t="n">
        <x:v>16336.96</x:v>
      </x:c>
      <x:c r="K93" s="10" t="n">
        <x:v>12502.18</x:v>
      </x:c>
      <x:c r="L93" s="10" t="n">
        <x:v>3834.78</x:v>
      </x:c>
      <x:c r="M93" s="12" t="n">
        <x:v>0.2347302857507041</x:v>
      </x:c>
    </x:row>
    <x:row r="94">
      <x:c r="A94" t="str">
        <x:v>ORD-10093</x:v>
      </x:c>
      <x:c r="B94" s="8" t="n">
        <x:v>45542</x:v>
      </x:c>
      <x:c r="C94" t="n">
        <x:v>2024</x:v>
      </x:c>
      <x:c r="D94" t="str">
        <x:v>France</x:v>
      </x:c>
      <x:c r="E94" t="str">
        <x:v>Europe</x:v>
      </x:c>
      <x:c r="F94" t="str">
        <x:v>Technology</x:v>
      </x:c>
      <x:c r="G94" t="str">
        <x:v>Laptop</x:v>
      </x:c>
      <x:c r="H94" t="str">
        <x:v>Home Office</x:v>
      </x:c>
      <x:c r="I94" t="n">
        <x:v>20</x:v>
      </x:c>
      <x:c r="J94" s="10" t="n">
        <x:v>11111.47</x:v>
      </x:c>
      <x:c r="K94" s="10" t="n">
        <x:v>7289.64</x:v>
      </x:c>
      <x:c r="L94" s="10" t="n">
        <x:v>3821.83</x:v>
      </x:c>
      <x:c r="M94" s="12" t="n">
        <x:v>0.3439534079259187</x:v>
      </x:c>
    </x:row>
    <x:row r="95">
      <x:c r="A95" t="str">
        <x:v>ORD-10094</x:v>
      </x:c>
      <x:c r="B95" s="8" t="n">
        <x:v>45572</x:v>
      </x:c>
      <x:c r="C95" t="n">
        <x:v>2024</x:v>
      </x:c>
      <x:c r="D95" t="str">
        <x:v>France</x:v>
      </x:c>
      <x:c r="E95" t="str">
        <x:v>Europe</x:v>
      </x:c>
      <x:c r="F95" t="str">
        <x:v>Technology</x:v>
      </x:c>
      <x:c r="G95" t="str">
        <x:v>Smartphone</x:v>
      </x:c>
      <x:c r="H95" t="str">
        <x:v>Consumer</x:v>
      </x:c>
      <x:c r="I95" t="n">
        <x:v>31</x:v>
      </x:c>
      <x:c r="J95" s="10" t="n">
        <x:v>14810.9</x:v>
      </x:c>
      <x:c r="K95" s="10" t="n">
        <x:v>11201.09</x:v>
      </x:c>
      <x:c r="L95" s="10" t="n">
        <x:v>3609.81</x:v>
      </x:c>
      <x:c r="M95" s="12" t="n">
        <x:v>0.24372673353311683</x:v>
      </x:c>
    </x:row>
    <x:row r="96">
      <x:c r="A96" t="str">
        <x:v>ORD-10095</x:v>
      </x:c>
      <x:c r="B96" s="8" t="n">
        <x:v>45619</x:v>
      </x:c>
      <x:c r="C96" t="n">
        <x:v>2024</x:v>
      </x:c>
      <x:c r="D96" t="str">
        <x:v>France</x:v>
      </x:c>
      <x:c r="E96" t="str">
        <x:v>Europe</x:v>
      </x:c>
      <x:c r="F96" t="str">
        <x:v>Furniture</x:v>
      </x:c>
      <x:c r="G96" t="str">
        <x:v>Bookshelf</x:v>
      </x:c>
      <x:c r="H96" t="str">
        <x:v>Corporate</x:v>
      </x:c>
      <x:c r="I96" t="n">
        <x:v>36</x:v>
      </x:c>
      <x:c r="J96" s="10" t="n">
        <x:v>11464.96</x:v>
      </x:c>
      <x:c r="K96" s="10" t="n">
        <x:v>8190.02</x:v>
      </x:c>
      <x:c r="L96" s="10" t="n">
        <x:v>3274.95</x:v>
      </x:c>
      <x:c r="M96" s="12" t="n">
        <x:v>0.2856481692921451</x:v>
      </x:c>
    </x:row>
    <x:row r="97">
      <x:c r="A97" t="str">
        <x:v>ORD-10096</x:v>
      </x:c>
      <x:c r="B97" s="8" t="n">
        <x:v>45645</x:v>
      </x:c>
      <x:c r="C97" t="n">
        <x:v>2024</x:v>
      </x:c>
      <x:c r="D97" t="str">
        <x:v>France</x:v>
      </x:c>
      <x:c r="E97" t="str">
        <x:v>Europe</x:v>
      </x:c>
      <x:c r="F97" t="str">
        <x:v>Technology</x:v>
      </x:c>
      <x:c r="G97" t="str">
        <x:v>Smartphone</x:v>
      </x:c>
      <x:c r="H97" t="str">
        <x:v>Corporate</x:v>
      </x:c>
      <x:c r="I97" t="n">
        <x:v>28</x:v>
      </x:c>
      <x:c r="J97" s="10" t="n">
        <x:v>14193.52</x:v>
      </x:c>
      <x:c r="K97" s="10" t="n">
        <x:v>9346.91</x:v>
      </x:c>
      <x:c r="L97" s="10" t="n">
        <x:v>4846.61</x:v>
      </x:c>
      <x:c r="M97" s="12" t="n">
        <x:v>0.3414664602088546</x:v>
      </x:c>
    </x:row>
    <x:row r="98">
      <x:c r="A98" t="str">
        <x:v>ORD-10097</x:v>
      </x:c>
      <x:c r="B98" s="8" t="n">
        <x:v>45318</x:v>
      </x:c>
      <x:c r="C98" t="n">
        <x:v>2024</x:v>
      </x:c>
      <x:c r="D98" t="str">
        <x:v>Spain</x:v>
      </x:c>
      <x:c r="E98" t="str">
        <x:v>Europe</x:v>
      </x:c>
      <x:c r="F98" t="str">
        <x:v>Office Supplies</x:v>
      </x:c>
      <x:c r="G98" t="str">
        <x:v>Desk Organizer</x:v>
      </x:c>
      <x:c r="H98" t="str">
        <x:v>Corporate</x:v>
      </x:c>
      <x:c r="I98" t="n">
        <x:v>106</x:v>
      </x:c>
      <x:c r="J98" s="10" t="n">
        <x:v>5181.4</x:v>
      </x:c>
      <x:c r="K98" s="10" t="n">
        <x:v>4139.67</x:v>
      </x:c>
      <x:c r="L98" s="10" t="n">
        <x:v>1041.73</x:v>
      </x:c>
      <x:c r="M98" s="12" t="n">
        <x:v>0.20105174334998224</x:v>
      </x:c>
    </x:row>
    <x:row r="99">
      <x:c r="A99" t="str">
        <x:v>ORD-10098</x:v>
      </x:c>
      <x:c r="B99" s="8" t="n">
        <x:v>45342</x:v>
      </x:c>
      <x:c r="C99" t="n">
        <x:v>2024</x:v>
      </x:c>
      <x:c r="D99" t="str">
        <x:v>Spain</x:v>
      </x:c>
      <x:c r="E99" t="str">
        <x:v>Europe</x:v>
      </x:c>
      <x:c r="F99" t="str">
        <x:v>Office Supplies</x:v>
      </x:c>
      <x:c r="G99" t="str">
        <x:v>Pens</x:v>
      </x:c>
      <x:c r="H99" t="str">
        <x:v>Consumer</x:v>
      </x:c>
      <x:c r="I99" t="n">
        <x:v>104</x:v>
      </x:c>
      <x:c r="J99" s="10" t="n">
        <x:v>7098.91</x:v>
      </x:c>
      <x:c r="K99" s="10" t="n">
        <x:v>5451.71</x:v>
      </x:c>
      <x:c r="L99" s="10" t="n">
        <x:v>1647.2</x:v>
      </x:c>
      <x:c r="M99" s="12" t="n">
        <x:v>0.23203518869065556</x:v>
      </x:c>
    </x:row>
    <x:row r="100">
      <x:c r="A100" t="str">
        <x:v>ORD-10099</x:v>
      </x:c>
      <x:c r="B100" s="8" t="n">
        <x:v>45368</x:v>
      </x:c>
      <x:c r="C100" t="n">
        <x:v>2024</x:v>
      </x:c>
      <x:c r="D100" t="str">
        <x:v>Spain</x:v>
      </x:c>
      <x:c r="E100" t="str">
        <x:v>Europe</x:v>
      </x:c>
      <x:c r="F100" t="str">
        <x:v>Technology</x:v>
      </x:c>
      <x:c r="G100" t="str">
        <x:v>Laptop</x:v>
      </x:c>
      <x:c r="H100" t="str">
        <x:v>Corporate</x:v>
      </x:c>
      <x:c r="I100" t="n">
        <x:v>83</x:v>
      </x:c>
      <x:c r="J100" s="10" t="n">
        <x:v>26328.72</x:v>
      </x:c>
      <x:c r="K100" s="10" t="n">
        <x:v>19102.31</x:v>
      </x:c>
      <x:c r="L100" s="10" t="n">
        <x:v>7226.4</x:v>
      </x:c>
      <x:c r="M100" s="12" t="n">
        <x:v>0.27446850514616666</x:v>
      </x:c>
    </x:row>
    <x:row r="101">
      <x:c r="A101" t="str">
        <x:v>ORD-10100</x:v>
      </x:c>
      <x:c r="B101" s="8" t="n">
        <x:v>45394</x:v>
      </x:c>
      <x:c r="C101" t="n">
        <x:v>2024</x:v>
      </x:c>
      <x:c r="D101" t="str">
        <x:v>Spain</x:v>
      </x:c>
      <x:c r="E101" t="str">
        <x:v>Europe</x:v>
      </x:c>
      <x:c r="F101" t="str">
        <x:v>Office Supplies</x:v>
      </x:c>
      <x:c r="G101" t="str">
        <x:v>Binders</x:v>
      </x:c>
      <x:c r="H101" t="str">
        <x:v>Consumer</x:v>
      </x:c>
      <x:c r="I101" t="n">
        <x:v>68</x:v>
      </x:c>
      <x:c r="J101" s="10" t="n">
        <x:v>4756</x:v>
      </x:c>
      <x:c r="K101" s="10" t="n">
        <x:v>4077.49</x:v>
      </x:c>
      <x:c r="L101" s="10" t="n">
        <x:v>678.51</x:v>
      </x:c>
      <x:c r="M101" s="12" t="n">
        <x:v>0.1426646644772798</x:v>
      </x:c>
    </x:row>
    <x:row r="102">
      <x:c r="A102" t="str">
        <x:v>ORD-10101</x:v>
      </x:c>
      <x:c r="B102" s="8" t="n">
        <x:v>45433</x:v>
      </x:c>
      <x:c r="C102" t="n">
        <x:v>2024</x:v>
      </x:c>
      <x:c r="D102" t="str">
        <x:v>Spain</x:v>
      </x:c>
      <x:c r="E102" t="str">
        <x:v>Europe</x:v>
      </x:c>
      <x:c r="F102" t="str">
        <x:v>Office Supplies</x:v>
      </x:c>
      <x:c r="G102" t="str">
        <x:v>Desk Organizer</x:v>
      </x:c>
      <x:c r="H102" t="str">
        <x:v>Home Office</x:v>
      </x:c>
      <x:c r="I102" t="n">
        <x:v>34</x:v>
      </x:c>
      <x:c r="J102" s="10" t="n">
        <x:v>1934.1</x:v>
      </x:c>
      <x:c r="K102" s="10" t="n">
        <x:v>1512.36</x:v>
      </x:c>
      <x:c r="L102" s="10" t="n">
        <x:v>421.74</x:v>
      </x:c>
      <x:c r="M102" s="12" t="n">
        <x:v>0.21805543648160694</x:v>
      </x:c>
    </x:row>
    <x:row r="103">
      <x:c r="A103" t="str">
        <x:v>ORD-10102</x:v>
      </x:c>
      <x:c r="B103" s="8" t="n">
        <x:v>45454</x:v>
      </x:c>
      <x:c r="C103" t="n">
        <x:v>2024</x:v>
      </x:c>
      <x:c r="D103" t="str">
        <x:v>Spain</x:v>
      </x:c>
      <x:c r="E103" t="str">
        <x:v>Europe</x:v>
      </x:c>
      <x:c r="F103" t="str">
        <x:v>Furniture</x:v>
      </x:c>
      <x:c r="G103" t="str">
        <x:v>Storage Cabinet</x:v>
      </x:c>
      <x:c r="H103" t="str">
        <x:v>Corporate</x:v>
      </x:c>
      <x:c r="I103" t="n">
        <x:v>70</x:v>
      </x:c>
      <x:c r="J103" s="10" t="n">
        <x:v>17000.27</x:v>
      </x:c>
      <x:c r="K103" s="10" t="n">
        <x:v>12901.55</x:v>
      </x:c>
      <x:c r="L103" s="10" t="n">
        <x:v>4098.71</x:v>
      </x:c>
      <x:c r="M103" s="12" t="n">
        <x:v>0.24109695428764422</x:v>
      </x:c>
    </x:row>
    <x:row r="104">
      <x:c r="A104" t="str">
        <x:v>ORD-10103</x:v>
      </x:c>
      <x:c r="B104" s="8" t="n">
        <x:v>45493</x:v>
      </x:c>
      <x:c r="C104" t="n">
        <x:v>2024</x:v>
      </x:c>
      <x:c r="D104" t="str">
        <x:v>Spain</x:v>
      </x:c>
      <x:c r="E104" t="str">
        <x:v>Europe</x:v>
      </x:c>
      <x:c r="F104" t="str">
        <x:v>Technology</x:v>
      </x:c>
      <x:c r="G104" t="str">
        <x:v>Laptop</x:v>
      </x:c>
      <x:c r="H104" t="str">
        <x:v>Corporate</x:v>
      </x:c>
      <x:c r="I104" t="n">
        <x:v>72</x:v>
      </x:c>
      <x:c r="J104" s="10" t="n">
        <x:v>20328.49</x:v>
      </x:c>
      <x:c r="K104" s="10" t="n">
        <x:v>14519.32</x:v>
      </x:c>
      <x:c r="L104" s="10" t="n">
        <x:v>5809.17</x:v>
      </x:c>
      <x:c r="M104" s="12" t="n">
        <x:v>0.2857650159923878</x:v>
      </x:c>
    </x:row>
    <x:row r="105">
      <x:c r="A105" t="str">
        <x:v>ORD-10104</x:v>
      </x:c>
      <x:c r="B105" s="8" t="n">
        <x:v>45520</x:v>
      </x:c>
      <x:c r="C105" t="n">
        <x:v>2024</x:v>
      </x:c>
      <x:c r="D105" t="str">
        <x:v>Spain</x:v>
      </x:c>
      <x:c r="E105" t="str">
        <x:v>Europe</x:v>
      </x:c>
      <x:c r="F105" t="str">
        <x:v>Office Supplies</x:v>
      </x:c>
      <x:c r="G105" t="str">
        <x:v>Desk Organizer</x:v>
      </x:c>
      <x:c r="H105" t="str">
        <x:v>Corporate</x:v>
      </x:c>
      <x:c r="I105" t="n">
        <x:v>18</x:v>
      </x:c>
      <x:c r="J105" s="10" t="n">
        <x:v>1059.67</x:v>
      </x:c>
      <x:c r="K105" s="10" t="n">
        <x:v>880.58</x:v>
      </x:c>
      <x:c r="L105" s="10" t="n">
        <x:v>179.09</x:v>
      </x:c>
      <x:c r="M105" s="12" t="n">
        <x:v>0.1690017001466512</x:v>
      </x:c>
    </x:row>
    <x:row r="106">
      <x:c r="A106" t="str">
        <x:v>ORD-10105</x:v>
      </x:c>
      <x:c r="B106" s="8" t="n">
        <x:v>45544</x:v>
      </x:c>
      <x:c r="C106" t="n">
        <x:v>2024</x:v>
      </x:c>
      <x:c r="D106" t="str">
        <x:v>Spain</x:v>
      </x:c>
      <x:c r="E106" t="str">
        <x:v>Europe</x:v>
      </x:c>
      <x:c r="F106" t="str">
        <x:v>Technology</x:v>
      </x:c>
      <x:c r="G106" t="str">
        <x:v>Monitor</x:v>
      </x:c>
      <x:c r="H106" t="str">
        <x:v>Corporate</x:v>
      </x:c>
      <x:c r="I106" t="n">
        <x:v>58</x:v>
      </x:c>
      <x:c r="J106" s="10" t="n">
        <x:v>16768.12</x:v>
      </x:c>
      <x:c r="K106" s="10" t="n">
        <x:v>11711.88</x:v>
      </x:c>
      <x:c r="L106" s="10" t="n">
        <x:v>5056.23</x:v>
      </x:c>
      <x:c r="M106" s="12" t="n">
        <x:v>0.3015386009524915</x:v>
      </x:c>
    </x:row>
    <x:row r="107">
      <x:c r="A107" t="str">
        <x:v>ORD-10106</x:v>
      </x:c>
      <x:c r="B107" s="8" t="n">
        <x:v>45581</x:v>
      </x:c>
      <x:c r="C107" t="n">
        <x:v>2024</x:v>
      </x:c>
      <x:c r="D107" t="str">
        <x:v>Spain</x:v>
      </x:c>
      <x:c r="E107" t="str">
        <x:v>Europe</x:v>
      </x:c>
      <x:c r="F107" t="str">
        <x:v>Office Supplies</x:v>
      </x:c>
      <x:c r="G107" t="str">
        <x:v>Printer Paper</x:v>
      </x:c>
      <x:c r="H107" t="str">
        <x:v>Home Office</x:v>
      </x:c>
      <x:c r="I107" t="n">
        <x:v>39</x:v>
      </x:c>
      <x:c r="J107" s="10" t="n">
        <x:v>1758</x:v>
      </x:c>
      <x:c r="K107" s="10" t="n">
        <x:v>1377.55</x:v>
      </x:c>
      <x:c r="L107" s="10" t="n">
        <x:v>380.45</x:v>
      </x:c>
      <x:c r="M107" s="12" t="n">
        <x:v>0.21640895969250323</x:v>
      </x:c>
    </x:row>
    <x:row r="108">
      <x:c r="A108" t="str">
        <x:v>ORD-10107</x:v>
      </x:c>
      <x:c r="B108" s="8" t="n">
        <x:v>45622</x:v>
      </x:c>
      <x:c r="C108" t="n">
        <x:v>2024</x:v>
      </x:c>
      <x:c r="D108" t="str">
        <x:v>Spain</x:v>
      </x:c>
      <x:c r="E108" t="str">
        <x:v>Europe</x:v>
      </x:c>
      <x:c r="F108" t="str">
        <x:v>Office Supplies</x:v>
      </x:c>
      <x:c r="G108" t="str">
        <x:v>Pens</x:v>
      </x:c>
      <x:c r="H108" t="str">
        <x:v>Home Office</x:v>
      </x:c>
      <x:c r="I108" t="n">
        <x:v>75</x:v>
      </x:c>
      <x:c r="J108" s="10" t="n">
        <x:v>4799</x:v>
      </x:c>
      <x:c r="K108" s="10" t="n">
        <x:v>3892.48</x:v>
      </x:c>
      <x:c r="L108" s="10" t="n">
        <x:v>906.52</x:v>
      </x:c>
      <x:c r="M108" s="12" t="n">
        <x:v>0.1888985602094304</x:v>
      </x:c>
    </x:row>
    <x:row r="109">
      <x:c r="A109" t="str">
        <x:v>ORD-10108</x:v>
      </x:c>
      <x:c r="B109" s="8" t="n">
        <x:v>45648</x:v>
      </x:c>
      <x:c r="C109" t="n">
        <x:v>2024</x:v>
      </x:c>
      <x:c r="D109" t="str">
        <x:v>Spain</x:v>
      </x:c>
      <x:c r="E109" t="str">
        <x:v>Europe</x:v>
      </x:c>
      <x:c r="F109" t="str">
        <x:v>Technology</x:v>
      </x:c>
      <x:c r="G109" t="str">
        <x:v>Laptop</x:v>
      </x:c>
      <x:c r="H109" t="str">
        <x:v>Corporate</x:v>
      </x:c>
      <x:c r="I109" t="n">
        <x:v>43</x:v>
      </x:c>
      <x:c r="J109" s="10" t="n">
        <x:v>13445.32</x:v>
      </x:c>
      <x:c r="K109" s="10" t="n">
        <x:v>9960.34</x:v>
      </x:c>
      <x:c r="L109" s="10" t="n">
        <x:v>3484.98</x:v>
      </x:c>
      <x:c r="M109" s="12" t="n">
        <x:v>0.25919661966521085</x:v>
      </x:c>
    </x:row>
    <x:row r="110">
      <x:c r="A110" t="str">
        <x:v>ORD-10109</x:v>
      </x:c>
      <x:c r="B110" s="8" t="n">
        <x:v>45315</x:v>
      </x:c>
      <x:c r="C110" t="n">
        <x:v>2024</x:v>
      </x:c>
      <x:c r="D110" t="str">
        <x:v>Italy</x:v>
      </x:c>
      <x:c r="E110" t="str">
        <x:v>Europe</x:v>
      </x:c>
      <x:c r="F110" t="str">
        <x:v>Office Supplies</x:v>
      </x:c>
      <x:c r="G110" t="str">
        <x:v>Binders</x:v>
      </x:c>
      <x:c r="H110" t="str">
        <x:v>Corporate</x:v>
      </x:c>
      <x:c r="I110" t="n">
        <x:v>85</x:v>
      </x:c>
      <x:c r="J110" s="10" t="n">
        <x:v>5313.38</x:v>
      </x:c>
      <x:c r="K110" s="10" t="n">
        <x:v>4563.87</x:v>
      </x:c>
      <x:c r="L110" s="10" t="n">
        <x:v>749.51</x:v>
      </x:c>
      <x:c r="M110" s="12" t="n">
        <x:v>0.14106045752462565</x:v>
      </x:c>
    </x:row>
    <x:row r="111">
      <x:c r="A111" t="str">
        <x:v>ORD-10110</x:v>
      </x:c>
      <x:c r="B111" s="8" t="n">
        <x:v>45330</x:v>
      </x:c>
      <x:c r="C111" t="n">
        <x:v>2024</x:v>
      </x:c>
      <x:c r="D111" t="str">
        <x:v>Italy</x:v>
      </x:c>
      <x:c r="E111" t="str">
        <x:v>Europe</x:v>
      </x:c>
      <x:c r="F111" t="str">
        <x:v>Office Supplies</x:v>
      </x:c>
      <x:c r="G111" t="str">
        <x:v>Binders</x:v>
      </x:c>
      <x:c r="H111" t="str">
        <x:v>Corporate</x:v>
      </x:c>
      <x:c r="I111" t="n">
        <x:v>104</x:v>
      </x:c>
      <x:c r="J111" s="10" t="n">
        <x:v>6219.35</x:v>
      </x:c>
      <x:c r="K111" s="10" t="n">
        <x:v>5430.77</x:v>
      </x:c>
      <x:c r="L111" s="10" t="n">
        <x:v>788.58</x:v>
      </x:c>
      <x:c r="M111" s="12" t="n">
        <x:v>0.12679475896185963</x:v>
      </x:c>
    </x:row>
    <x:row r="112">
      <x:c r="A112" t="str">
        <x:v>ORD-10111</x:v>
      </x:c>
      <x:c r="B112" s="8" t="n">
        <x:v>45374</x:v>
      </x:c>
      <x:c r="C112" t="n">
        <x:v>2024</x:v>
      </x:c>
      <x:c r="D112" t="str">
        <x:v>Italy</x:v>
      </x:c>
      <x:c r="E112" t="str">
        <x:v>Europe</x:v>
      </x:c>
      <x:c r="F112" t="str">
        <x:v>Technology</x:v>
      </x:c>
      <x:c r="G112" t="str">
        <x:v>Smartphone</x:v>
      </x:c>
      <x:c r="H112" t="str">
        <x:v>Corporate</x:v>
      </x:c>
      <x:c r="I112" t="n">
        <x:v>30</x:v>
      </x:c>
      <x:c r="J112" s="10" t="n">
        <x:v>11751.62</x:v>
      </x:c>
      <x:c r="K112" s="10" t="n">
        <x:v>8177.89</x:v>
      </x:c>
      <x:c r="L112" s="10" t="n">
        <x:v>3573.73</x:v>
      </x:c>
      <x:c r="M112" s="12" t="n">
        <x:v>0.30410530724721224</x:v>
      </x:c>
    </x:row>
    <x:row r="113">
      <x:c r="A113" t="str">
        <x:v>ORD-10112</x:v>
      </x:c>
      <x:c r="B113" s="8" t="n">
        <x:v>45407</x:v>
      </x:c>
      <x:c r="C113" t="n">
        <x:v>2024</x:v>
      </x:c>
      <x:c r="D113" t="str">
        <x:v>Italy</x:v>
      </x:c>
      <x:c r="E113" t="str">
        <x:v>Europe</x:v>
      </x:c>
      <x:c r="F113" t="str">
        <x:v>Technology</x:v>
      </x:c>
      <x:c r="G113" t="str">
        <x:v>Smartphone</x:v>
      </x:c>
      <x:c r="H113" t="str">
        <x:v>Consumer</x:v>
      </x:c>
      <x:c r="I113" t="n">
        <x:v>109</x:v>
      </x:c>
      <x:c r="J113" s="10" t="n">
        <x:v>37155.27</x:v>
      </x:c>
      <x:c r="K113" s="10" t="n">
        <x:v>26865.11</x:v>
      </x:c>
      <x:c r="L113" s="10" t="n">
        <x:v>10290.16</x:v>
      </x:c>
      <x:c r="M113" s="12" t="n">
        <x:v>0.2769502001311661</x:v>
      </x:c>
    </x:row>
    <x:row r="114">
      <x:c r="A114" t="str">
        <x:v>ORD-10113</x:v>
      </x:c>
      <x:c r="B114" s="8" t="n">
        <x:v>45422</x:v>
      </x:c>
      <x:c r="C114" t="n">
        <x:v>2024</x:v>
      </x:c>
      <x:c r="D114" t="str">
        <x:v>Italy</x:v>
      </x:c>
      <x:c r="E114" t="str">
        <x:v>Europe</x:v>
      </x:c>
      <x:c r="F114" t="str">
        <x:v>Office Supplies</x:v>
      </x:c>
      <x:c r="G114" t="str">
        <x:v>Binders</x:v>
      </x:c>
      <x:c r="H114" t="str">
        <x:v>Consumer</x:v>
      </x:c>
      <x:c r="I114" t="n">
        <x:v>39</x:v>
      </x:c>
      <x:c r="J114" s="10" t="n">
        <x:v>2116.66</x:v>
      </x:c>
      <x:c r="K114" s="10" t="n">
        <x:v>1834.49</x:v>
      </x:c>
      <x:c r="L114" s="10" t="n">
        <x:v>282.16</x:v>
      </x:c>
      <x:c r="M114" s="12" t="n">
        <x:v>0.13330572829792642</x:v>
      </x:c>
    </x:row>
    <x:row r="115">
      <x:c r="A115" t="str">
        <x:v>ORD-10114</x:v>
      </x:c>
      <x:c r="B115" s="8" t="n">
        <x:v>45466</x:v>
      </x:c>
      <x:c r="C115" t="n">
        <x:v>2024</x:v>
      </x:c>
      <x:c r="D115" t="str">
        <x:v>Italy</x:v>
      </x:c>
      <x:c r="E115" t="str">
        <x:v>Europe</x:v>
      </x:c>
      <x:c r="F115" t="str">
        <x:v>Technology</x:v>
      </x:c>
      <x:c r="G115" t="str">
        <x:v>Smartphone</x:v>
      </x:c>
      <x:c r="H115" t="str">
        <x:v>Corporate</x:v>
      </x:c>
      <x:c r="I115" t="n">
        <x:v>20</x:v>
      </x:c>
      <x:c r="J115" s="10" t="n">
        <x:v>8744.15</x:v>
      </x:c>
      <x:c r="K115" s="10" t="n">
        <x:v>6502.12</x:v>
      </x:c>
      <x:c r="L115" s="10" t="n">
        <x:v>2242.03</x:v>
      </x:c>
      <x:c r="M115" s="12" t="n">
        <x:v>0.256403076015833</x:v>
      </x:c>
    </x:row>
    <x:row r="116">
      <x:c r="A116" t="str">
        <x:v>ORD-10115</x:v>
      </x:c>
      <x:c r="B116" s="8" t="n">
        <x:v>45488</x:v>
      </x:c>
      <x:c r="C116" t="n">
        <x:v>2024</x:v>
      </x:c>
      <x:c r="D116" t="str">
        <x:v>Italy</x:v>
      </x:c>
      <x:c r="E116" t="str">
        <x:v>Europe</x:v>
      </x:c>
      <x:c r="F116" t="str">
        <x:v>Technology</x:v>
      </x:c>
      <x:c r="G116" t="str">
        <x:v>Headphones</x:v>
      </x:c>
      <x:c r="H116" t="str">
        <x:v>Consumer</x:v>
      </x:c>
      <x:c r="I116" t="n">
        <x:v>16</x:v>
      </x:c>
      <x:c r="J116" s="10" t="n">
        <x:v>5736.61</x:v>
      </x:c>
      <x:c r="K116" s="10" t="n">
        <x:v>4323.52</x:v>
      </x:c>
      <x:c r="L116" s="10" t="n">
        <x:v>1413.09</x:v>
      </x:c>
      <x:c r="M116" s="12" t="n">
        <x:v>0.24632763339166114</x:v>
      </x:c>
    </x:row>
    <x:row r="117">
      <x:c r="A117" t="str">
        <x:v>ORD-10116</x:v>
      </x:c>
      <x:c r="B117" s="8" t="n">
        <x:v>45531</x:v>
      </x:c>
      <x:c r="C117" t="n">
        <x:v>2024</x:v>
      </x:c>
      <x:c r="D117" t="str">
        <x:v>Italy</x:v>
      </x:c>
      <x:c r="E117" t="str">
        <x:v>Europe</x:v>
      </x:c>
      <x:c r="F117" t="str">
        <x:v>Furniture</x:v>
      </x:c>
      <x:c r="G117" t="str">
        <x:v>Desk</x:v>
      </x:c>
      <x:c r="H117" t="str">
        <x:v>Consumer</x:v>
      </x:c>
      <x:c r="I117" t="n">
        <x:v>47</x:v>
      </x:c>
      <x:c r="J117" s="10" t="n">
        <x:v>12530.61</x:v>
      </x:c>
      <x:c r="K117" s="10" t="n">
        <x:v>10183.28</x:v>
      </x:c>
      <x:c r="L117" s="10" t="n">
        <x:v>2347.33</x:v>
      </x:c>
      <x:c r="M117" s="12" t="n">
        <x:v>0.18732750247188262</x:v>
      </x:c>
    </x:row>
    <x:row r="118">
      <x:c r="A118" t="str">
        <x:v>ORD-10117</x:v>
      </x:c>
      <x:c r="B118" s="8" t="n">
        <x:v>45540</x:v>
      </x:c>
      <x:c r="C118" t="n">
        <x:v>2024</x:v>
      </x:c>
      <x:c r="D118" t="str">
        <x:v>Italy</x:v>
      </x:c>
      <x:c r="E118" t="str">
        <x:v>Europe</x:v>
      </x:c>
      <x:c r="F118" t="str">
        <x:v>Technology</x:v>
      </x:c>
      <x:c r="G118" t="str">
        <x:v>Headphones</x:v>
      </x:c>
      <x:c r="H118" t="str">
        <x:v>Corporate</x:v>
      </x:c>
      <x:c r="I118" t="n">
        <x:v>24</x:v>
      </x:c>
      <x:c r="J118" s="10" t="n">
        <x:v>8618.86</x:v>
      </x:c>
      <x:c r="K118" s="10" t="n">
        <x:v>6271.31</x:v>
      </x:c>
      <x:c r="L118" s="10" t="n">
        <x:v>2347.56</x:v>
      </x:c>
      <x:c r="M118" s="12" t="n">
        <x:v>0.27237412219072205</x:v>
      </x:c>
    </x:row>
    <x:row r="119">
      <x:c r="A119" t="str">
        <x:v>ORD-10118</x:v>
      </x:c>
      <x:c r="B119" s="8" t="n">
        <x:v>45585</x:v>
      </x:c>
      <x:c r="C119" t="n">
        <x:v>2024</x:v>
      </x:c>
      <x:c r="D119" t="str">
        <x:v>Italy</x:v>
      </x:c>
      <x:c r="E119" t="str">
        <x:v>Europe</x:v>
      </x:c>
      <x:c r="F119" t="str">
        <x:v>Technology</x:v>
      </x:c>
      <x:c r="G119" t="str">
        <x:v>Monitor</x:v>
      </x:c>
      <x:c r="H119" t="str">
        <x:v>Consumer</x:v>
      </x:c>
      <x:c r="I119" t="n">
        <x:v>46</x:v>
      </x:c>
      <x:c r="J119" s="10" t="n">
        <x:v>12373.21</x:v>
      </x:c>
      <x:c r="K119" s="10" t="n">
        <x:v>8887.27</x:v>
      </x:c>
      <x:c r="L119" s="10" t="n">
        <x:v>3485.94</x:v>
      </x:c>
      <x:c r="M119" s="12" t="n">
        <x:v>0.28173321343914326</x:v>
      </x:c>
    </x:row>
    <x:row r="120">
      <x:c r="A120" t="str">
        <x:v>ORD-10119</x:v>
      </x:c>
      <x:c r="B120" s="8" t="n">
        <x:v>45624</x:v>
      </x:c>
      <x:c r="C120" t="n">
        <x:v>2024</x:v>
      </x:c>
      <x:c r="D120" t="str">
        <x:v>Italy</x:v>
      </x:c>
      <x:c r="E120" t="str">
        <x:v>Europe</x:v>
      </x:c>
      <x:c r="F120" t="str">
        <x:v>Office Supplies</x:v>
      </x:c>
      <x:c r="G120" t="str">
        <x:v>Pens</x:v>
      </x:c>
      <x:c r="H120" t="str">
        <x:v>Home Office</x:v>
      </x:c>
      <x:c r="I120" t="n">
        <x:v>63</x:v>
      </x:c>
      <x:c r="J120" s="10" t="n">
        <x:v>3760.35</x:v>
      </x:c>
      <x:c r="K120" s="10" t="n">
        <x:v>3222.14</x:v>
      </x:c>
      <x:c r="L120" s="10" t="n">
        <x:v>538.21</x:v>
      </x:c>
      <x:c r="M120" s="12" t="n">
        <x:v>0.1431265204823193</x:v>
      </x:c>
    </x:row>
    <x:row r="121">
      <x:c r="A121" t="str">
        <x:v>ORD-10120</x:v>
      </x:c>
      <x:c r="B121" s="8" t="n">
        <x:v>45650</x:v>
      </x:c>
      <x:c r="C121" t="n">
        <x:v>2024</x:v>
      </x:c>
      <x:c r="D121" t="str">
        <x:v>Italy</x:v>
      </x:c>
      <x:c r="E121" t="str">
        <x:v>Europe</x:v>
      </x:c>
      <x:c r="F121" t="str">
        <x:v>Office Supplies</x:v>
      </x:c>
      <x:c r="G121" t="str">
        <x:v>Desk Organizer</x:v>
      </x:c>
      <x:c r="H121" t="str">
        <x:v>Corporate</x:v>
      </x:c>
      <x:c r="I121" t="n">
        <x:v>87</x:v>
      </x:c>
      <x:c r="J121" s="10" t="n">
        <x:v>5713.56</x:v>
      </x:c>
      <x:c r="K121" s="10" t="n">
        <x:v>4781.36</x:v>
      </x:c>
      <x:c r="L121" s="10" t="n">
        <x:v>932.2</x:v>
      </x:c>
      <x:c r="M121" s="12" t="n">
        <x:v>0.16315570946941566</x:v>
      </x:c>
    </x:row>
    <x:row r="122">
      <x:c r="A122" t="str">
        <x:v>ORD-10121</x:v>
      </x:c>
      <x:c r="B122" s="8" t="n">
        <x:v>45299</x:v>
      </x:c>
      <x:c r="C122" t="n">
        <x:v>2024</x:v>
      </x:c>
      <x:c r="D122" t="str">
        <x:v>India</x:v>
      </x:c>
      <x:c r="E122" t="str">
        <x:v>Asia</x:v>
      </x:c>
      <x:c r="F122" t="str">
        <x:v>Technology</x:v>
      </x:c>
      <x:c r="G122" t="str">
        <x:v>Smartphone</x:v>
      </x:c>
      <x:c r="H122" t="str">
        <x:v>Home Office</x:v>
      </x:c>
      <x:c r="I122" t="n">
        <x:v>42</x:v>
      </x:c>
      <x:c r="J122" s="10" t="n">
        <x:v>22443.42</x:v>
      </x:c>
      <x:c r="K122" s="10" t="n">
        <x:v>17062.78</x:v>
      </x:c>
      <x:c r="L122" s="10" t="n">
        <x:v>5380.64</x:v>
      </x:c>
      <x:c r="M122" s="12" t="n">
        <x:v>0.23974249585603807</x:v>
      </x:c>
    </x:row>
    <x:row r="123">
      <x:c r="A123" t="str">
        <x:v>ORD-10122</x:v>
      </x:c>
      <x:c r="B123" s="8" t="n">
        <x:v>45338</x:v>
      </x:c>
      <x:c r="C123" t="n">
        <x:v>2024</x:v>
      </x:c>
      <x:c r="D123" t="str">
        <x:v>India</x:v>
      </x:c>
      <x:c r="E123" t="str">
        <x:v>Asia</x:v>
      </x:c>
      <x:c r="F123" t="str">
        <x:v>Technology</x:v>
      </x:c>
      <x:c r="G123" t="str">
        <x:v>Laptop</x:v>
      </x:c>
      <x:c r="H123" t="str">
        <x:v>Consumer</x:v>
      </x:c>
      <x:c r="I123" t="n">
        <x:v>15</x:v>
      </x:c>
      <x:c r="J123" s="10" t="n">
        <x:v>8776.87</x:v>
      </x:c>
      <x:c r="K123" s="10" t="n">
        <x:v>6032.13</x:v>
      </x:c>
      <x:c r="L123" s="10" t="n">
        <x:v>2744.74</x:v>
      </x:c>
      <x:c r="M123" s="12" t="n">
        <x:v>0.3127245362941722</x:v>
      </x:c>
    </x:row>
    <x:row r="124">
      <x:c r="A124" t="str">
        <x:v>ORD-10123</x:v>
      </x:c>
      <x:c r="B124" s="8" t="n">
        <x:v>45366</x:v>
      </x:c>
      <x:c r="C124" t="n">
        <x:v>2024</x:v>
      </x:c>
      <x:c r="D124" t="str">
        <x:v>India</x:v>
      </x:c>
      <x:c r="E124" t="str">
        <x:v>Asia</x:v>
      </x:c>
      <x:c r="F124" t="str">
        <x:v>Furniture</x:v>
      </x:c>
      <x:c r="G124" t="str">
        <x:v>Office Chair</x:v>
      </x:c>
      <x:c r="H124" t="str">
        <x:v>Consumer</x:v>
      </x:c>
      <x:c r="I124" t="n">
        <x:v>51</x:v>
      </x:c>
      <x:c r="J124" s="10" t="n">
        <x:v>21797.36</x:v>
      </x:c>
      <x:c r="K124" s="10" t="n">
        <x:v>16253.01</x:v>
      </x:c>
      <x:c r="L124" s="10" t="n">
        <x:v>5544.34</x:v>
      </x:c>
      <x:c r="M124" s="12" t="n">
        <x:v>0.254358506971246</x:v>
      </x:c>
    </x:row>
    <x:row r="125">
      <x:c r="A125" t="str">
        <x:v>ORD-10124</x:v>
      </x:c>
      <x:c r="B125" s="8" t="n">
        <x:v>45408</x:v>
      </x:c>
      <x:c r="C125" t="n">
        <x:v>2024</x:v>
      </x:c>
      <x:c r="D125" t="str">
        <x:v>India</x:v>
      </x:c>
      <x:c r="E125" t="str">
        <x:v>Asia</x:v>
      </x:c>
      <x:c r="F125" t="str">
        <x:v>Technology</x:v>
      </x:c>
      <x:c r="G125" t="str">
        <x:v>Smartphone</x:v>
      </x:c>
      <x:c r="H125" t="str">
        <x:v>Corporate</x:v>
      </x:c>
      <x:c r="I125" t="n">
        <x:v>115</x:v>
      </x:c>
      <x:c r="J125" s="10" t="n">
        <x:v>82817.5</x:v>
      </x:c>
      <x:c r="K125" s="10" t="n">
        <x:v>57908.09</x:v>
      </x:c>
      <x:c r="L125" s="10" t="n">
        <x:v>24909.41</x:v>
      </x:c>
      <x:c r="M125" s="12" t="n">
        <x:v>0.30077475070463083</x:v>
      </x:c>
    </x:row>
    <x:row r="126">
      <x:c r="A126" t="str">
        <x:v>ORD-10125</x:v>
      </x:c>
      <x:c r="B126" s="8" t="n">
        <x:v>45421</x:v>
      </x:c>
      <x:c r="C126" t="n">
        <x:v>2024</x:v>
      </x:c>
      <x:c r="D126" t="str">
        <x:v>India</x:v>
      </x:c>
      <x:c r="E126" t="str">
        <x:v>Asia</x:v>
      </x:c>
      <x:c r="F126" t="str">
        <x:v>Technology</x:v>
      </x:c>
      <x:c r="G126" t="str">
        <x:v>Headphones</x:v>
      </x:c>
      <x:c r="H126" t="str">
        <x:v>Consumer</x:v>
      </x:c>
      <x:c r="I126" t="n">
        <x:v>84</x:v>
      </x:c>
      <x:c r="J126" s="10" t="n">
        <x:v>43706.27</x:v>
      </x:c>
      <x:c r="K126" s="10" t="n">
        <x:v>32872.42</x:v>
      </x:c>
      <x:c r="L126" s="10" t="n">
        <x:v>10833.86</x:v>
      </x:c>
      <x:c r="M126" s="12" t="n">
        <x:v>0.2478787281290396</x:v>
      </x:c>
    </x:row>
    <x:row r="127">
      <x:c r="A127" t="str">
        <x:v>ORD-10126</x:v>
      </x:c>
      <x:c r="B127" s="8" t="n">
        <x:v>45470</x:v>
      </x:c>
      <x:c r="C127" t="n">
        <x:v>2024</x:v>
      </x:c>
      <x:c r="D127" t="str">
        <x:v>India</x:v>
      </x:c>
      <x:c r="E127" t="str">
        <x:v>Asia</x:v>
      </x:c>
      <x:c r="F127" t="str">
        <x:v>Technology</x:v>
      </x:c>
      <x:c r="G127" t="str">
        <x:v>Laptop</x:v>
      </x:c>
      <x:c r="H127" t="str">
        <x:v>Consumer</x:v>
      </x:c>
      <x:c r="I127" t="n">
        <x:v>36</x:v>
      </x:c>
      <x:c r="J127" s="10" t="n">
        <x:v>25943.02</x:v>
      </x:c>
      <x:c r="K127" s="10" t="n">
        <x:v>18123.65</x:v>
      </x:c>
      <x:c r="L127" s="10" t="n">
        <x:v>7819.36</x:v>
      </x:c>
      <x:c r="M127" s="12" t="n">
        <x:v>0.30140528447832865</x:v>
      </x:c>
    </x:row>
    <x:row r="128">
      <x:c r="A128" t="str">
        <x:v>ORD-10127</x:v>
      </x:c>
      <x:c r="B128" s="8" t="n">
        <x:v>45486</x:v>
      </x:c>
      <x:c r="C128" t="n">
        <x:v>2024</x:v>
      </x:c>
      <x:c r="D128" t="str">
        <x:v>India</x:v>
      </x:c>
      <x:c r="E128" t="str">
        <x:v>Asia</x:v>
      </x:c>
      <x:c r="F128" t="str">
        <x:v>Office Supplies</x:v>
      </x:c>
      <x:c r="G128" t="str">
        <x:v>Binders</x:v>
      </x:c>
      <x:c r="H128" t="str">
        <x:v>Corporate</x:v>
      </x:c>
      <x:c r="I128" t="n">
        <x:v>30</x:v>
      </x:c>
      <x:c r="J128" s="10" t="n">
        <x:v>3248.34</x:v>
      </x:c>
      <x:c r="K128" s="10" t="n">
        <x:v>2707.52</x:v>
      </x:c>
      <x:c r="L128" s="10" t="n">
        <x:v>540.82</x:v>
      </x:c>
      <x:c r="M128" s="12" t="n">
        <x:v>0.16649094286537208</x:v>
      </x:c>
    </x:row>
    <x:row r="129">
      <x:c r="A129" t="str">
        <x:v>ORD-10128</x:v>
      </x:c>
      <x:c r="B129" s="8" t="n">
        <x:v>45528</x:v>
      </x:c>
      <x:c r="C129" t="n">
        <x:v>2024</x:v>
      </x:c>
      <x:c r="D129" t="str">
        <x:v>India</x:v>
      </x:c>
      <x:c r="E129" t="str">
        <x:v>Asia</x:v>
      </x:c>
      <x:c r="F129" t="str">
        <x:v>Furniture</x:v>
      </x:c>
      <x:c r="G129" t="str">
        <x:v>Storage Cabinet</x:v>
      </x:c>
      <x:c r="H129" t="str">
        <x:v>Corporate</x:v>
      </x:c>
      <x:c r="I129" t="n">
        <x:v>25</x:v>
      </x:c>
      <x:c r="J129" s="10" t="n">
        <x:v>10090.28</x:v>
      </x:c>
      <x:c r="K129" s="10" t="n">
        <x:v>7297.99</x:v>
      </x:c>
      <x:c r="L129" s="10" t="n">
        <x:v>2792.29</x:v>
      </x:c>
      <x:c r="M129" s="12" t="n">
        <x:v>0.27673074671509446</x:v>
      </x:c>
    </x:row>
    <x:row r="130">
      <x:c r="A130" t="str">
        <x:v>ORD-10129</x:v>
      </x:c>
      <x:c r="B130" s="8" t="n">
        <x:v>45563</x:v>
      </x:c>
      <x:c r="C130" t="n">
        <x:v>2024</x:v>
      </x:c>
      <x:c r="D130" t="str">
        <x:v>India</x:v>
      </x:c>
      <x:c r="E130" t="str">
        <x:v>Asia</x:v>
      </x:c>
      <x:c r="F130" t="str">
        <x:v>Furniture</x:v>
      </x:c>
      <x:c r="G130" t="str">
        <x:v>Bookshelf</x:v>
      </x:c>
      <x:c r="H130" t="str">
        <x:v>Consumer</x:v>
      </x:c>
      <x:c r="I130" t="n">
        <x:v>26</x:v>
      </x:c>
      <x:c r="J130" s="10" t="n">
        <x:v>8397.92</x:v>
      </x:c>
      <x:c r="K130" s="10" t="n">
        <x:v>6290.75</x:v>
      </x:c>
      <x:c r="L130" s="10" t="n">
        <x:v>2107.17</x:v>
      </x:c>
      <x:c r="M130" s="12" t="n">
        <x:v>0.25091580406066044</x:v>
      </x:c>
    </x:row>
    <x:row r="131">
      <x:c r="A131" t="str">
        <x:v>ORD-10130</x:v>
      </x:c>
      <x:c r="B131" s="8" t="n">
        <x:v>45590</x:v>
      </x:c>
      <x:c r="C131" t="n">
        <x:v>2024</x:v>
      </x:c>
      <x:c r="D131" t="str">
        <x:v>India</x:v>
      </x:c>
      <x:c r="E131" t="str">
        <x:v>Asia</x:v>
      </x:c>
      <x:c r="F131" t="str">
        <x:v>Office Supplies</x:v>
      </x:c>
      <x:c r="G131" t="str">
        <x:v>Printer Paper</x:v>
      </x:c>
      <x:c r="H131" t="str">
        <x:v>Home Office</x:v>
      </x:c>
      <x:c r="I131" t="n">
        <x:v>120</x:v>
      </x:c>
      <x:c r="J131" s="10" t="n">
        <x:v>11487.5</x:v>
      </x:c>
      <x:c r="K131" s="10" t="n">
        <x:v>9938.67</x:v>
      </x:c>
      <x:c r="L131" s="10" t="n">
        <x:v>1548.83</x:v>
      </x:c>
      <x:c r="M131" s="12" t="n">
        <x:v>0.13482780077735407</x:v>
      </x:c>
    </x:row>
    <x:row r="132">
      <x:c r="A132" t="str">
        <x:v>ORD-10131</x:v>
      </x:c>
      <x:c r="B132" s="8" t="n">
        <x:v>45615</x:v>
      </x:c>
      <x:c r="C132" t="n">
        <x:v>2024</x:v>
      </x:c>
      <x:c r="D132" t="str">
        <x:v>India</x:v>
      </x:c>
      <x:c r="E132" t="str">
        <x:v>Asia</x:v>
      </x:c>
      <x:c r="F132" t="str">
        <x:v>Technology</x:v>
      </x:c>
      <x:c r="G132" t="str">
        <x:v>Headphones</x:v>
      </x:c>
      <x:c r="H132" t="str">
        <x:v>Home Office</x:v>
      </x:c>
      <x:c r="I132" t="n">
        <x:v>98</x:v>
      </x:c>
      <x:c r="J132" s="10" t="n">
        <x:v>58507.82</x:v>
      </x:c>
      <x:c r="K132" s="10" t="n">
        <x:v>43098.1</x:v>
      </x:c>
      <x:c r="L132" s="10" t="n">
        <x:v>15409.72</x:v>
      </x:c>
      <x:c r="M132" s="12" t="n">
        <x:v>0.26337878869309056</x:v>
      </x:c>
    </x:row>
    <x:row r="133">
      <x:c r="A133" t="str">
        <x:v>ORD-10132</x:v>
      </x:c>
      <x:c r="B133" s="8" t="n">
        <x:v>45648</x:v>
      </x:c>
      <x:c r="C133" t="n">
        <x:v>2024</x:v>
      </x:c>
      <x:c r="D133" t="str">
        <x:v>India</x:v>
      </x:c>
      <x:c r="E133" t="str">
        <x:v>Asia</x:v>
      </x:c>
      <x:c r="F133" t="str">
        <x:v>Furniture</x:v>
      </x:c>
      <x:c r="G133" t="str">
        <x:v>Storage Cabinet</x:v>
      </x:c>
      <x:c r="H133" t="str">
        <x:v>Consumer</x:v>
      </x:c>
      <x:c r="I133" t="n">
        <x:v>75</x:v>
      </x:c>
      <x:c r="J133" s="10" t="n">
        <x:v>26174.6</x:v>
      </x:c>
      <x:c r="K133" s="10" t="n">
        <x:v>20678.01</x:v>
      </x:c>
      <x:c r="L133" s="10" t="n">
        <x:v>5496.59</x:v>
      </x:c>
      <x:c r="M133" s="12" t="n">
        <x:v>0.20999700723981102</x:v>
      </x:c>
    </x:row>
    <x:row r="134">
      <x:c r="A134" t="str">
        <x:v>ORD-10133</x:v>
      </x:c>
      <x:c r="B134" s="8" t="n">
        <x:v>45304</x:v>
      </x:c>
      <x:c r="C134" t="n">
        <x:v>2024</x:v>
      </x:c>
      <x:c r="D134" t="str">
        <x:v>China</x:v>
      </x:c>
      <x:c r="E134" t="str">
        <x:v>Asia</x:v>
      </x:c>
      <x:c r="F134" t="str">
        <x:v>Technology</x:v>
      </x:c>
      <x:c r="G134" t="str">
        <x:v>Smartphone</x:v>
      </x:c>
      <x:c r="H134" t="str">
        <x:v>Corporate</x:v>
      </x:c>
      <x:c r="I134" t="n">
        <x:v>67</x:v>
      </x:c>
      <x:c r="J134" s="10" t="n">
        <x:v>52507.18</x:v>
      </x:c>
      <x:c r="K134" s="10" t="n">
        <x:v>38614.51</x:v>
      </x:c>
      <x:c r="L134" s="10" t="n">
        <x:v>13892.67</x:v>
      </x:c>
      <x:c r="M134" s="12" t="n">
        <x:v>0.2645861354433747</x:v>
      </x:c>
    </x:row>
    <x:row r="135">
      <x:c r="A135" t="str">
        <x:v>ORD-10134</x:v>
      </x:c>
      <x:c r="B135" s="8" t="n">
        <x:v>45347</x:v>
      </x:c>
      <x:c r="C135" t="n">
        <x:v>2024</x:v>
      </x:c>
      <x:c r="D135" t="str">
        <x:v>China</x:v>
      </x:c>
      <x:c r="E135" t="str">
        <x:v>Asia</x:v>
      </x:c>
      <x:c r="F135" t="str">
        <x:v>Office Supplies</x:v>
      </x:c>
      <x:c r="G135" t="str">
        <x:v>Printer Paper</x:v>
      </x:c>
      <x:c r="H135" t="str">
        <x:v>Corporate</x:v>
      </x:c>
      <x:c r="I135" t="n">
        <x:v>26</x:v>
      </x:c>
      <x:c r="J135" s="10" t="n">
        <x:v>2928.78</x:v>
      </x:c>
      <x:c r="K135" s="10" t="n">
        <x:v>2434.42</x:v>
      </x:c>
      <x:c r="L135" s="10" t="n">
        <x:v>494.36</x:v>
      </x:c>
      <x:c r="M135" s="12" t="n">
        <x:v>0.16879285435311947</x:v>
      </x:c>
    </x:row>
    <x:row r="136">
      <x:c r="A136" t="str">
        <x:v>ORD-10135</x:v>
      </x:c>
      <x:c r="B136" s="8" t="n">
        <x:v>45368</x:v>
      </x:c>
      <x:c r="C136" t="n">
        <x:v>2024</x:v>
      </x:c>
      <x:c r="D136" t="str">
        <x:v>China</x:v>
      </x:c>
      <x:c r="E136" t="str">
        <x:v>Asia</x:v>
      </x:c>
      <x:c r="F136" t="str">
        <x:v>Furniture</x:v>
      </x:c>
      <x:c r="G136" t="str">
        <x:v>Office Chair</x:v>
      </x:c>
      <x:c r="H136" t="str">
        <x:v>Home Office</x:v>
      </x:c>
      <x:c r="I136" t="n">
        <x:v>84</x:v>
      </x:c>
      <x:c r="J136" s="10" t="n">
        <x:v>35893.98</x:v>
      </x:c>
      <x:c r="K136" s="10" t="n">
        <x:v>29558.53</x:v>
      </x:c>
      <x:c r="L136" s="10" t="n">
        <x:v>6335.45</x:v>
      </x:c>
      <x:c r="M136" s="12" t="n">
        <x:v>0.17650449024520745</x:v>
      </x:c>
    </x:row>
    <x:row r="137">
      <x:c r="A137" t="str">
        <x:v>ORD-10136</x:v>
      </x:c>
      <x:c r="B137" s="8" t="n">
        <x:v>45400</x:v>
      </x:c>
      <x:c r="C137" t="n">
        <x:v>2024</x:v>
      </x:c>
      <x:c r="D137" t="str">
        <x:v>China</x:v>
      </x:c>
      <x:c r="E137" t="str">
        <x:v>Asia</x:v>
      </x:c>
      <x:c r="F137" t="str">
        <x:v>Furniture</x:v>
      </x:c>
      <x:c r="G137" t="str">
        <x:v>Storage Cabinet</x:v>
      </x:c>
      <x:c r="H137" t="str">
        <x:v>Home Office</x:v>
      </x:c>
      <x:c r="I137" t="n">
        <x:v>71</x:v>
      </x:c>
      <x:c r="J137" s="10" t="n">
        <x:v>35620.25</x:v>
      </x:c>
      <x:c r="K137" s="10" t="n">
        <x:v>28694.71</x:v>
      </x:c>
      <x:c r="L137" s="10" t="n">
        <x:v>6925.54</x:v>
      </x:c>
      <x:c r="M137" s="12" t="n">
        <x:v>0.19442698860203286</x:v>
      </x:c>
    </x:row>
    <x:row r="138">
      <x:c r="A138" t="str">
        <x:v>ORD-10137</x:v>
      </x:c>
      <x:c r="B138" s="8" t="n">
        <x:v>45433</x:v>
      </x:c>
      <x:c r="C138" t="n">
        <x:v>2024</x:v>
      </x:c>
      <x:c r="D138" t="str">
        <x:v>China</x:v>
      </x:c>
      <x:c r="E138" t="str">
        <x:v>Asia</x:v>
      </x:c>
      <x:c r="F138" t="str">
        <x:v>Technology</x:v>
      </x:c>
      <x:c r="G138" t="str">
        <x:v>Monitor</x:v>
      </x:c>
      <x:c r="H138" t="str">
        <x:v>Corporate</x:v>
      </x:c>
      <x:c r="I138" t="n">
        <x:v>104</x:v>
      </x:c>
      <x:c r="J138" s="10" t="n">
        <x:v>72741.32</x:v>
      </x:c>
      <x:c r="K138" s="10" t="n">
        <x:v>55758.82</x:v>
      </x:c>
      <x:c r="L138" s="10" t="n">
        <x:v>16982.5</x:v>
      </x:c>
      <x:c r="M138" s="12" t="n">
        <x:v>0.23346433309299952</x:v>
      </x:c>
    </x:row>
    <x:row r="139">
      <x:c r="A139" t="str">
        <x:v>ORD-10138</x:v>
      </x:c>
      <x:c r="B139" s="8" t="n">
        <x:v>45457</x:v>
      </x:c>
      <x:c r="C139" t="n">
        <x:v>2024</x:v>
      </x:c>
      <x:c r="D139" t="str">
        <x:v>China</x:v>
      </x:c>
      <x:c r="E139" t="str">
        <x:v>Asia</x:v>
      </x:c>
      <x:c r="F139" t="str">
        <x:v>Office Supplies</x:v>
      </x:c>
      <x:c r="G139" t="str">
        <x:v>Pens</x:v>
      </x:c>
      <x:c r="H139" t="str">
        <x:v>Home Office</x:v>
      </x:c>
      <x:c r="I139" t="n">
        <x:v>35</x:v>
      </x:c>
      <x:c r="J139" s="10" t="n">
        <x:v>3933.09</x:v>
      </x:c>
      <x:c r="K139" s="10" t="n">
        <x:v>3415.33</x:v>
      </x:c>
      <x:c r="L139" s="10" t="n">
        <x:v>517.76</x:v>
      </x:c>
      <x:c r="M139" s="12" t="n">
        <x:v>0.13164093573592728</x:v>
      </x:c>
    </x:row>
    <x:row r="140">
      <x:c r="A140" t="str">
        <x:v>ORD-10139</x:v>
      </x:c>
      <x:c r="B140" s="8" t="n">
        <x:v>45478</x:v>
      </x:c>
      <x:c r="C140" t="n">
        <x:v>2024</x:v>
      </x:c>
      <x:c r="D140" t="str">
        <x:v>China</x:v>
      </x:c>
      <x:c r="E140" t="str">
        <x:v>Asia</x:v>
      </x:c>
      <x:c r="F140" t="str">
        <x:v>Technology</x:v>
      </x:c>
      <x:c r="G140" t="str">
        <x:v>Smartphone</x:v>
      </x:c>
      <x:c r="H140" t="str">
        <x:v>Consumer</x:v>
      </x:c>
      <x:c r="I140" t="n">
        <x:v>74</x:v>
      </x:c>
      <x:c r="J140" s="10" t="n">
        <x:v>65553.26</x:v>
      </x:c>
      <x:c r="K140" s="10" t="n">
        <x:v>45380.87</x:v>
      </x:c>
      <x:c r="L140" s="10" t="n">
        <x:v>20172.39</x:v>
      </x:c>
      <x:c r="M140" s="12" t="n">
        <x:v>0.30772516265405103</x:v>
      </x:c>
    </x:row>
    <x:row r="141">
      <x:c r="A141" t="str">
        <x:v>ORD-10140</x:v>
      </x:c>
      <x:c r="B141" s="8" t="n">
        <x:v>45520</x:v>
      </x:c>
      <x:c r="C141" t="n">
        <x:v>2024</x:v>
      </x:c>
      <x:c r="D141" t="str">
        <x:v>China</x:v>
      </x:c>
      <x:c r="E141" t="str">
        <x:v>Asia</x:v>
      </x:c>
      <x:c r="F141" t="str">
        <x:v>Furniture</x:v>
      </x:c>
      <x:c r="G141" t="str">
        <x:v>Bookshelf</x:v>
      </x:c>
      <x:c r="H141" t="str">
        <x:v>Home Office</x:v>
      </x:c>
      <x:c r="I141" t="n">
        <x:v>105</x:v>
      </x:c>
      <x:c r="J141" s="10" t="n">
        <x:v>39925.92</x:v>
      </x:c>
      <x:c r="K141" s="10" t="n">
        <x:v>29139.26</x:v>
      </x:c>
      <x:c r="L141" s="10" t="n">
        <x:v>10786.66</x:v>
      </x:c>
      <x:c r="M141" s="12" t="n">
        <x:v>0.2701668734692033</x:v>
      </x:c>
    </x:row>
    <x:row r="142">
      <x:c r="A142" t="str">
        <x:v>ORD-10141</x:v>
      </x:c>
      <x:c r="B142" s="8" t="n">
        <x:v>45552</x:v>
      </x:c>
      <x:c r="C142" t="n">
        <x:v>2024</x:v>
      </x:c>
      <x:c r="D142" t="str">
        <x:v>China</x:v>
      </x:c>
      <x:c r="E142" t="str">
        <x:v>Asia</x:v>
      </x:c>
      <x:c r="F142" t="str">
        <x:v>Technology</x:v>
      </x:c>
      <x:c r="G142" t="str">
        <x:v>Headphones</x:v>
      </x:c>
      <x:c r="H142" t="str">
        <x:v>Home Office</x:v>
      </x:c>
      <x:c r="I142" t="n">
        <x:v>33</x:v>
      </x:c>
      <x:c r="J142" s="10" t="n">
        <x:v>21735.84</x:v>
      </x:c>
      <x:c r="K142" s="10" t="n">
        <x:v>14332.09</x:v>
      </x:c>
      <x:c r="L142" s="10" t="n">
        <x:v>7403.75</x:v>
      </x:c>
      <x:c r="M142" s="12" t="n">
        <x:v>0.34062417799178735</x:v>
      </x:c>
    </x:row>
    <x:row r="143">
      <x:c r="A143" t="str">
        <x:v>ORD-10142</x:v>
      </x:c>
      <x:c r="B143" s="8" t="n">
        <x:v>45576</x:v>
      </x:c>
      <x:c r="C143" t="n">
        <x:v>2024</x:v>
      </x:c>
      <x:c r="D143" t="str">
        <x:v>China</x:v>
      </x:c>
      <x:c r="E143" t="str">
        <x:v>Asia</x:v>
      </x:c>
      <x:c r="F143" t="str">
        <x:v>Office Supplies</x:v>
      </x:c>
      <x:c r="G143" t="str">
        <x:v>Pens</x:v>
      </x:c>
      <x:c r="H143" t="str">
        <x:v>Consumer</x:v>
      </x:c>
      <x:c r="I143" t="n">
        <x:v>50</x:v>
      </x:c>
      <x:c r="J143" s="10" t="n">
        <x:v>7281.63</x:v>
      </x:c>
      <x:c r="K143" s="10" t="n">
        <x:v>5588.44</x:v>
      </x:c>
      <x:c r="L143" s="10" t="n">
        <x:v>1693.19</x:v>
      </x:c>
      <x:c r="M143" s="12" t="n">
        <x:v>0.23252948559666486</x:v>
      </x:c>
    </x:row>
    <x:row r="144">
      <x:c r="A144" t="str">
        <x:v>ORD-10143</x:v>
      </x:c>
      <x:c r="B144" s="8" t="n">
        <x:v>45615</x:v>
      </x:c>
      <x:c r="C144" t="n">
        <x:v>2024</x:v>
      </x:c>
      <x:c r="D144" t="str">
        <x:v>China</x:v>
      </x:c>
      <x:c r="E144" t="str">
        <x:v>Asia</x:v>
      </x:c>
      <x:c r="F144" t="str">
        <x:v>Office Supplies</x:v>
      </x:c>
      <x:c r="G144" t="str">
        <x:v>Binders</x:v>
      </x:c>
      <x:c r="H144" t="str">
        <x:v>Consumer</x:v>
      </x:c>
      <x:c r="I144" t="n">
        <x:v>51</x:v>
      </x:c>
      <x:c r="J144" s="10" t="n">
        <x:v>7256.06</x:v>
      </x:c>
      <x:c r="K144" s="10" t="n">
        <x:v>5583.56</x:v>
      </x:c>
      <x:c r="L144" s="10" t="n">
        <x:v>1672.5</x:v>
      </x:c>
      <x:c r="M144" s="12" t="n">
        <x:v>0.23049711071277051</x:v>
      </x:c>
    </x:row>
    <x:row r="145">
      <x:c r="A145" t="str">
        <x:v>ORD-10144</x:v>
      </x:c>
      <x:c r="B145" s="8" t="n">
        <x:v>45644</x:v>
      </x:c>
      <x:c r="C145" t="n">
        <x:v>2024</x:v>
      </x:c>
      <x:c r="D145" t="str">
        <x:v>China</x:v>
      </x:c>
      <x:c r="E145" t="str">
        <x:v>Asia</x:v>
      </x:c>
      <x:c r="F145" t="str">
        <x:v>Office Supplies</x:v>
      </x:c>
      <x:c r="G145" t="str">
        <x:v>Desk Organizer</x:v>
      </x:c>
      <x:c r="H145" t="str">
        <x:v>Consumer</x:v>
      </x:c>
      <x:c r="I145" t="n">
        <x:v>72</x:v>
      </x:c>
      <x:c r="J145" s="10" t="n">
        <x:v>9272</x:v>
      </x:c>
      <x:c r="K145" s="10" t="n">
        <x:v>7682.64</x:v>
      </x:c>
      <x:c r="L145" s="10" t="n">
        <x:v>1589.36</x:v>
      </x:c>
      <x:c r="M145" s="12" t="n">
        <x:v>0.17141487300316094</x:v>
      </x:c>
    </x:row>
    <x:row r="146">
      <x:c r="A146" t="str">
        <x:v>ORD-10145</x:v>
      </x:c>
      <x:c r="B146" s="8" t="n">
        <x:v>45299</x:v>
      </x:c>
      <x:c r="C146" t="n">
        <x:v>2024</x:v>
      </x:c>
      <x:c r="D146" t="str">
        <x:v>Japan</x:v>
      </x:c>
      <x:c r="E146" t="str">
        <x:v>Asia</x:v>
      </x:c>
      <x:c r="F146" t="str">
        <x:v>Office Supplies</x:v>
      </x:c>
      <x:c r="G146" t="str">
        <x:v>Desk Organizer</x:v>
      </x:c>
      <x:c r="H146" t="str">
        <x:v>Corporate</x:v>
      </x:c>
      <x:c r="I146" t="n">
        <x:v>56</x:v>
      </x:c>
      <x:c r="J146" s="10" t="n">
        <x:v>6142.61</x:v>
      </x:c>
      <x:c r="K146" s="10" t="n">
        <x:v>4621.13</x:v>
      </x:c>
      <x:c r="L146" s="10" t="n">
        <x:v>1521.48</x:v>
      </x:c>
      <x:c r="M146" s="12" t="n">
        <x:v>0.24769295575991138</x:v>
      </x:c>
    </x:row>
    <x:row r="147">
      <x:c r="A147" t="str">
        <x:v>ORD-10146</x:v>
      </x:c>
      <x:c r="B147" s="8" t="n">
        <x:v>45338</x:v>
      </x:c>
      <x:c r="C147" t="n">
        <x:v>2024</x:v>
      </x:c>
      <x:c r="D147" t="str">
        <x:v>Japan</x:v>
      </x:c>
      <x:c r="E147" t="str">
        <x:v>Asia</x:v>
      </x:c>
      <x:c r="F147" t="str">
        <x:v>Office Supplies</x:v>
      </x:c>
      <x:c r="G147" t="str">
        <x:v>Desk Organizer</x:v>
      </x:c>
      <x:c r="H147" t="str">
        <x:v>Consumer</x:v>
      </x:c>
      <x:c r="I147" t="n">
        <x:v>114</x:v>
      </x:c>
      <x:c r="J147" s="10" t="n">
        <x:v>9797.74</x:v>
      </x:c>
      <x:c r="K147" s="10" t="n">
        <x:v>8149.95</x:v>
      </x:c>
      <x:c r="L147" s="10" t="n">
        <x:v>1647.8</x:v>
      </x:c>
      <x:c r="M147" s="12" t="n">
        <x:v>0.16818115926805605</x:v>
      </x:c>
    </x:row>
    <x:row r="148">
      <x:c r="A148" t="str">
        <x:v>ORD-10147</x:v>
      </x:c>
      <x:c r="B148" s="8" t="n">
        <x:v>45356</x:v>
      </x:c>
      <x:c r="C148" t="n">
        <x:v>2024</x:v>
      </x:c>
      <x:c r="D148" t="str">
        <x:v>Japan</x:v>
      </x:c>
      <x:c r="E148" t="str">
        <x:v>Asia</x:v>
      </x:c>
      <x:c r="F148" t="str">
        <x:v>Office Supplies</x:v>
      </x:c>
      <x:c r="G148" t="str">
        <x:v>Desk Organizer</x:v>
      </x:c>
      <x:c r="H148" t="str">
        <x:v>Corporate</x:v>
      </x:c>
      <x:c r="I148" t="n">
        <x:v>99</x:v>
      </x:c>
      <x:c r="J148" s="10" t="n">
        <x:v>10463.69</x:v>
      </x:c>
      <x:c r="K148" s="10" t="n">
        <x:v>8284.71</x:v>
      </x:c>
      <x:c r="L148" s="10" t="n">
        <x:v>2178.98</x:v>
      </x:c>
      <x:c r="M148" s="12" t="n">
        <x:v>0.20824228016807272</x:v>
      </x:c>
    </x:row>
    <x:row r="149">
      <x:c r="A149" t="str">
        <x:v>ORD-10148</x:v>
      </x:c>
      <x:c r="B149" s="8" t="n">
        <x:v>45386</x:v>
      </x:c>
      <x:c r="C149" t="n">
        <x:v>2024</x:v>
      </x:c>
      <x:c r="D149" t="str">
        <x:v>Japan</x:v>
      </x:c>
      <x:c r="E149" t="str">
        <x:v>Asia</x:v>
      </x:c>
      <x:c r="F149" t="str">
        <x:v>Furniture</x:v>
      </x:c>
      <x:c r="G149" t="str">
        <x:v>Office Chair</x:v>
      </x:c>
      <x:c r="H149" t="str">
        <x:v>Consumer</x:v>
      </x:c>
      <x:c r="I149" t="n">
        <x:v>79</x:v>
      </x:c>
      <x:c r="J149" s="10" t="n">
        <x:v>31397.32</x:v>
      </x:c>
      <x:c r="K149" s="10" t="n">
        <x:v>24808.93</x:v>
      </x:c>
      <x:c r="L149" s="10" t="n">
        <x:v>6588.39</x:v>
      </x:c>
      <x:c r="M149" s="12" t="n">
        <x:v>0.20983936447176368</x:v>
      </x:c>
    </x:row>
    <x:row r="150">
      <x:c r="A150" t="str">
        <x:v>ORD-10149</x:v>
      </x:c>
      <x:c r="B150" s="8" t="n">
        <x:v>45440</x:v>
      </x:c>
      <x:c r="C150" t="n">
        <x:v>2024</x:v>
      </x:c>
      <x:c r="D150" t="str">
        <x:v>Japan</x:v>
      </x:c>
      <x:c r="E150" t="str">
        <x:v>Asia</x:v>
      </x:c>
      <x:c r="F150" t="str">
        <x:v>Furniture</x:v>
      </x:c>
      <x:c r="G150" t="str">
        <x:v>Office Chair</x:v>
      </x:c>
      <x:c r="H150" t="str">
        <x:v>Home Office</x:v>
      </x:c>
      <x:c r="I150" t="n">
        <x:v>73</x:v>
      </x:c>
      <x:c r="J150" s="10" t="n">
        <x:v>16571.25</x:v>
      </x:c>
      <x:c r="K150" s="10" t="n">
        <x:v>13467.47</x:v>
      </x:c>
      <x:c r="L150" s="10" t="n">
        <x:v>3103.77</x:v>
      </x:c>
      <x:c r="M150" s="12" t="n">
        <x:v>0.18729864991603373</x:v>
      </x:c>
    </x:row>
    <x:row r="151">
      <x:c r="A151" t="str">
        <x:v>ORD-10150</x:v>
      </x:c>
      <x:c r="B151" s="8" t="n">
        <x:v>45463</x:v>
      </x:c>
      <x:c r="C151" t="n">
        <x:v>2024</x:v>
      </x:c>
      <x:c r="D151" t="str">
        <x:v>Japan</x:v>
      </x:c>
      <x:c r="E151" t="str">
        <x:v>Asia</x:v>
      </x:c>
      <x:c r="F151" t="str">
        <x:v>Office Supplies</x:v>
      </x:c>
      <x:c r="G151" t="str">
        <x:v>Pens</x:v>
      </x:c>
      <x:c r="H151" t="str">
        <x:v>Consumer</x:v>
      </x:c>
      <x:c r="I151" t="n">
        <x:v>75</x:v>
      </x:c>
      <x:c r="J151" s="10" t="n">
        <x:v>7884.86</x:v>
      </x:c>
      <x:c r="K151" s="10" t="n">
        <x:v>6609.07</x:v>
      </x:c>
      <x:c r="L151" s="10" t="n">
        <x:v>1275.79</x:v>
      </x:c>
      <x:c r="M151" s="12" t="n">
        <x:v>0.161802733545209</x:v>
      </x:c>
    </x:row>
    <x:row r="152">
      <x:c r="A152" t="str">
        <x:v>ORD-10151</x:v>
      </x:c>
      <x:c r="B152" s="8" t="n">
        <x:v>45501</x:v>
      </x:c>
      <x:c r="C152" t="n">
        <x:v>2024</x:v>
      </x:c>
      <x:c r="D152" t="str">
        <x:v>Japan</x:v>
      </x:c>
      <x:c r="E152" t="str">
        <x:v>Asia</x:v>
      </x:c>
      <x:c r="F152" t="str">
        <x:v>Office Supplies</x:v>
      </x:c>
      <x:c r="G152" t="str">
        <x:v>Desk Organizer</x:v>
      </x:c>
      <x:c r="H152" t="str">
        <x:v>Home Office</x:v>
      </x:c>
      <x:c r="I152" t="n">
        <x:v>25</x:v>
      </x:c>
      <x:c r="J152" s="10" t="n">
        <x:v>2719.16</x:v>
      </x:c>
      <x:c r="K152" s="10" t="n">
        <x:v>2087.55</x:v>
      </x:c>
      <x:c r="L152" s="10" t="n">
        <x:v>631.61</x:v>
      </x:c>
      <x:c r="M152" s="12" t="n">
        <x:v>0.23228096038790716</x:v>
      </x:c>
    </x:row>
    <x:row r="153">
      <x:c r="A153" t="str">
        <x:v>ORD-10152</x:v>
      </x:c>
      <x:c r="B153" s="8" t="n">
        <x:v>45532</x:v>
      </x:c>
      <x:c r="C153" t="n">
        <x:v>2024</x:v>
      </x:c>
      <x:c r="D153" t="str">
        <x:v>Japan</x:v>
      </x:c>
      <x:c r="E153" t="str">
        <x:v>Asia</x:v>
      </x:c>
      <x:c r="F153" t="str">
        <x:v>Office Supplies</x:v>
      </x:c>
      <x:c r="G153" t="str">
        <x:v>Desk Organizer</x:v>
      </x:c>
      <x:c r="H153" t="str">
        <x:v>Corporate</x:v>
      </x:c>
      <x:c r="I153" t="n">
        <x:v>95</x:v>
      </x:c>
      <x:c r="J153" s="10" t="n">
        <x:v>9678.71</x:v>
      </x:c>
      <x:c r="K153" s="10" t="n">
        <x:v>7538.47</x:v>
      </x:c>
      <x:c r="L153" s="10" t="n">
        <x:v>2140.24</x:v>
      </x:c>
      <x:c r="M153" s="12" t="n">
        <x:v>0.22112821712012368</x:v>
      </x:c>
    </x:row>
    <x:row r="154">
      <x:c r="A154" t="str">
        <x:v>ORD-10153</x:v>
      </x:c>
      <x:c r="B154" s="8" t="n">
        <x:v>45545</x:v>
      </x:c>
      <x:c r="C154" t="n">
        <x:v>2024</x:v>
      </x:c>
      <x:c r="D154" t="str">
        <x:v>Japan</x:v>
      </x:c>
      <x:c r="E154" t="str">
        <x:v>Asia</x:v>
      </x:c>
      <x:c r="F154" t="str">
        <x:v>Office Supplies</x:v>
      </x:c>
      <x:c r="G154" t="str">
        <x:v>Printer Paper</x:v>
      </x:c>
      <x:c r="H154" t="str">
        <x:v>Home Office</x:v>
      </x:c>
      <x:c r="I154" t="n">
        <x:v>23</x:v>
      </x:c>
      <x:c r="J154" s="10" t="n">
        <x:v>1767.25</x:v>
      </x:c>
      <x:c r="K154" s="10" t="n">
        <x:v>1392.37</x:v>
      </x:c>
      <x:c r="L154" s="10" t="n">
        <x:v>374.88</x:v>
      </x:c>
      <x:c r="M154" s="12" t="n">
        <x:v>0.21212794892870998</x:v>
      </x:c>
    </x:row>
    <x:row r="155">
      <x:c r="A155" t="str">
        <x:v>ORD-10154</x:v>
      </x:c>
      <x:c r="B155" s="8" t="n">
        <x:v>45569</x:v>
      </x:c>
      <x:c r="C155" t="n">
        <x:v>2024</x:v>
      </x:c>
      <x:c r="D155" t="str">
        <x:v>Japan</x:v>
      </x:c>
      <x:c r="E155" t="str">
        <x:v>Asia</x:v>
      </x:c>
      <x:c r="F155" t="str">
        <x:v>Technology</x:v>
      </x:c>
      <x:c r="G155" t="str">
        <x:v>Laptop</x:v>
      </x:c>
      <x:c r="H155" t="str">
        <x:v>Corporate</x:v>
      </x:c>
      <x:c r="I155" t="n">
        <x:v>27</x:v>
      </x:c>
      <x:c r="J155" s="10" t="n">
        <x:v>15730.34</x:v>
      </x:c>
      <x:c r="K155" s="10" t="n">
        <x:v>10783.67</x:v>
      </x:c>
      <x:c r="L155" s="10" t="n">
        <x:v>4946.67</x:v>
      </x:c>
      <x:c r="M155" s="12" t="n">
        <x:v>0.31446689951948464</x:v>
      </x:c>
    </x:row>
    <x:row r="156">
      <x:c r="A156" t="str">
        <x:v>ORD-10155</x:v>
      </x:c>
      <x:c r="B156" s="8" t="n">
        <x:v>45622</x:v>
      </x:c>
      <x:c r="C156" t="n">
        <x:v>2024</x:v>
      </x:c>
      <x:c r="D156" t="str">
        <x:v>Japan</x:v>
      </x:c>
      <x:c r="E156" t="str">
        <x:v>Asia</x:v>
      </x:c>
      <x:c r="F156" t="str">
        <x:v>Furniture</x:v>
      </x:c>
      <x:c r="G156" t="str">
        <x:v>Desk</x:v>
      </x:c>
      <x:c r="H156" t="str">
        <x:v>Home Office</x:v>
      </x:c>
      <x:c r="I156" t="n">
        <x:v>53</x:v>
      </x:c>
      <x:c r="J156" s="10" t="n">
        <x:v>20475.19</x:v>
      </x:c>
      <x:c r="K156" s="10" t="n">
        <x:v>16881.4</x:v>
      </x:c>
      <x:c r="L156" s="10" t="n">
        <x:v>3593.78</x:v>
      </x:c>
      <x:c r="M156" s="12" t="n">
        <x:v>0.17551891624126562</x:v>
      </x:c>
    </x:row>
    <x:row r="157">
      <x:c r="A157" t="str">
        <x:v>ORD-10156</x:v>
      </x:c>
      <x:c r="B157" s="8" t="n">
        <x:v>45640</x:v>
      </x:c>
      <x:c r="C157" t="n">
        <x:v>2024</x:v>
      </x:c>
      <x:c r="D157" t="str">
        <x:v>Japan</x:v>
      </x:c>
      <x:c r="E157" t="str">
        <x:v>Asia</x:v>
      </x:c>
      <x:c r="F157" t="str">
        <x:v>Technology</x:v>
      </x:c>
      <x:c r="G157" t="str">
        <x:v>Monitor</x:v>
      </x:c>
      <x:c r="H157" t="str">
        <x:v>Corporate</x:v>
      </x:c>
      <x:c r="I157" t="n">
        <x:v>62</x:v>
      </x:c>
      <x:c r="J157" s="10" t="n">
        <x:v>30197.91</x:v>
      </x:c>
      <x:c r="K157" s="10" t="n">
        <x:v>22367.48</x:v>
      </x:c>
      <x:c r="L157" s="10" t="n">
        <x:v>7830.43</x:v>
      </x:c>
      <x:c r="M157" s="12" t="n">
        <x:v>0.25930369186207614</x:v>
      </x:c>
    </x:row>
    <x:row r="158">
      <x:c r="A158" t="str">
        <x:v>ORD-10157</x:v>
      </x:c>
      <x:c r="B158" s="8" t="n">
        <x:v>45311</x:v>
      </x:c>
      <x:c r="C158" t="n">
        <x:v>2024</x:v>
      </x:c>
      <x:c r="D158" t="str">
        <x:v>Singapore</x:v>
      </x:c>
      <x:c r="E158" t="str">
        <x:v>Asia</x:v>
      </x:c>
      <x:c r="F158" t="str">
        <x:v>Office Supplies</x:v>
      </x:c>
      <x:c r="G158" t="str">
        <x:v>Pens</x:v>
      </x:c>
      <x:c r="H158" t="str">
        <x:v>Consumer</x:v>
      </x:c>
      <x:c r="I158" t="n">
        <x:v>37</x:v>
      </x:c>
      <x:c r="J158" s="10" t="n">
        <x:v>1770.19</x:v>
      </x:c>
      <x:c r="K158" s="10" t="n">
        <x:v>1355.08</x:v>
      </x:c>
      <x:c r="L158" s="10" t="n">
        <x:v>415.11</x:v>
      </x:c>
      <x:c r="M158" s="12" t="n">
        <x:v>0.23450075183738245</x:v>
      </x:c>
    </x:row>
    <x:row r="159">
      <x:c r="A159" t="str">
        <x:v>ORD-10158</x:v>
      </x:c>
      <x:c r="B159" s="8" t="n">
        <x:v>45331</x:v>
      </x:c>
      <x:c r="C159" t="n">
        <x:v>2024</x:v>
      </x:c>
      <x:c r="D159" t="str">
        <x:v>Singapore</x:v>
      </x:c>
      <x:c r="E159" t="str">
        <x:v>Asia</x:v>
      </x:c>
      <x:c r="F159" t="str">
        <x:v>Office Supplies</x:v>
      </x:c>
      <x:c r="G159" t="str">
        <x:v>Pens</x:v>
      </x:c>
      <x:c r="H159" t="str">
        <x:v>Corporate</x:v>
      </x:c>
      <x:c r="I159" t="n">
        <x:v>89</x:v>
      </x:c>
      <x:c r="J159" s="10" t="n">
        <x:v>4463.55</x:v>
      </x:c>
      <x:c r="K159" s="10" t="n">
        <x:v>3636.28</x:v>
      </x:c>
      <x:c r="L159" s="10" t="n">
        <x:v>827.27</x:v>
      </x:c>
      <x:c r="M159" s="12" t="n">
        <x:v>0.18533798960259973</x:v>
      </x:c>
    </x:row>
    <x:row r="160">
      <x:c r="A160" t="str">
        <x:v>ORD-10159</x:v>
      </x:c>
      <x:c r="B160" s="8" t="n">
        <x:v>45361</x:v>
      </x:c>
      <x:c r="C160" t="n">
        <x:v>2024</x:v>
      </x:c>
      <x:c r="D160" t="str">
        <x:v>Singapore</x:v>
      </x:c>
      <x:c r="E160" t="str">
        <x:v>Asia</x:v>
      </x:c>
      <x:c r="F160" t="str">
        <x:v>Furniture</x:v>
      </x:c>
      <x:c r="G160" t="str">
        <x:v>Bookshelf</x:v>
      </x:c>
      <x:c r="H160" t="str">
        <x:v>Home Office</x:v>
      </x:c>
      <x:c r="I160" t="n">
        <x:v>16</x:v>
      </x:c>
      <x:c r="J160" s="10" t="n">
        <x:v>4290.94</x:v>
      </x:c>
      <x:c r="K160" s="10" t="n">
        <x:v>3321.92</x:v>
      </x:c>
      <x:c r="L160" s="10" t="n">
        <x:v>969.02</x:v>
      </x:c>
      <x:c r="M160" s="12" t="n">
        <x:v>0.22583039066303617</x:v>
      </x:c>
    </x:row>
    <x:row r="161">
      <x:c r="A161" t="str">
        <x:v>ORD-10160</x:v>
      </x:c>
      <x:c r="B161" s="8" t="n">
        <x:v>45392</x:v>
      </x:c>
      <x:c r="C161" t="n">
        <x:v>2024</x:v>
      </x:c>
      <x:c r="D161" t="str">
        <x:v>Singapore</x:v>
      </x:c>
      <x:c r="E161" t="str">
        <x:v>Asia</x:v>
      </x:c>
      <x:c r="F161" t="str">
        <x:v>Office Supplies</x:v>
      </x:c>
      <x:c r="G161" t="str">
        <x:v>Pens</x:v>
      </x:c>
      <x:c r="H161" t="str">
        <x:v>Consumer</x:v>
      </x:c>
      <x:c r="I161" t="n">
        <x:v>71</x:v>
      </x:c>
      <x:c r="J161" s="10" t="n">
        <x:v>5611.02</x:v>
      </x:c>
      <x:c r="K161" s="10" t="n">
        <x:v>4216.58</x:v>
      </x:c>
      <x:c r="L161" s="10" t="n">
        <x:v>1394.44</x:v>
      </x:c>
      <x:c r="M161" s="12" t="n">
        <x:v>0.2485182034262165</x:v>
      </x:c>
    </x:row>
    <x:row r="162">
      <x:c r="A162" t="str">
        <x:v>ORD-10161</x:v>
      </x:c>
      <x:c r="B162" s="8" t="n">
        <x:v>45425</x:v>
      </x:c>
      <x:c r="C162" t="n">
        <x:v>2024</x:v>
      </x:c>
      <x:c r="D162" t="str">
        <x:v>Singapore</x:v>
      </x:c>
      <x:c r="E162" t="str">
        <x:v>Asia</x:v>
      </x:c>
      <x:c r="F162" t="str">
        <x:v>Office Supplies</x:v>
      </x:c>
      <x:c r="G162" t="str">
        <x:v>Desk Organizer</x:v>
      </x:c>
      <x:c r="H162" t="str">
        <x:v>Home Office</x:v>
      </x:c>
      <x:c r="I162" t="n">
        <x:v>47</x:v>
      </x:c>
      <x:c r="J162" s="10" t="n">
        <x:v>2887.97</x:v>
      </x:c>
      <x:c r="K162" s="10" t="n">
        <x:v>2407.83</x:v>
      </x:c>
      <x:c r="L162" s="10" t="n">
        <x:v>480.14</x:v>
      </x:c>
      <x:c r="M162" s="12" t="n">
        <x:v>0.16625460046459764</x:v>
      </x:c>
    </x:row>
    <x:row r="163">
      <x:c r="A163" t="str">
        <x:v>ORD-10162</x:v>
      </x:c>
      <x:c r="B163" s="8" t="n">
        <x:v>45466</x:v>
      </x:c>
      <x:c r="C163" t="n">
        <x:v>2024</x:v>
      </x:c>
      <x:c r="D163" t="str">
        <x:v>Singapore</x:v>
      </x:c>
      <x:c r="E163" t="str">
        <x:v>Asia</x:v>
      </x:c>
      <x:c r="F163" t="str">
        <x:v>Furniture</x:v>
      </x:c>
      <x:c r="G163" t="str">
        <x:v>Office Chair</x:v>
      </x:c>
      <x:c r="H163" t="str">
        <x:v>Consumer</x:v>
      </x:c>
      <x:c r="I163" t="n">
        <x:v>63</x:v>
      </x:c>
      <x:c r="J163" s="10" t="n">
        <x:v>14324.68</x:v>
      </x:c>
      <x:c r="K163" s="10" t="n">
        <x:v>10901.41</x:v>
      </x:c>
      <x:c r="L163" s="10" t="n">
        <x:v>3423.28</x:v>
      </x:c>
      <x:c r="M163" s="12" t="n">
        <x:v>0.23897743162143747</x:v>
      </x:c>
    </x:row>
    <x:row r="164">
      <x:c r="A164" t="str">
        <x:v>ORD-10163</x:v>
      </x:c>
      <x:c r="B164" s="8" t="n">
        <x:v>45495</x:v>
      </x:c>
      <x:c r="C164" t="n">
        <x:v>2024</x:v>
      </x:c>
      <x:c r="D164" t="str">
        <x:v>Singapore</x:v>
      </x:c>
      <x:c r="E164" t="str">
        <x:v>Asia</x:v>
      </x:c>
      <x:c r="F164" t="str">
        <x:v>Furniture</x:v>
      </x:c>
      <x:c r="G164" t="str">
        <x:v>Office Chair</x:v>
      </x:c>
      <x:c r="H164" t="str">
        <x:v>Home Office</x:v>
      </x:c>
      <x:c r="I164" t="n">
        <x:v>65</x:v>
      </x:c>
      <x:c r="J164" s="10" t="n">
        <x:v>12366.58</x:v>
      </x:c>
      <x:c r="K164" s="10" t="n">
        <x:v>9424.43</x:v>
      </x:c>
      <x:c r="L164" s="10" t="n">
        <x:v>2942.15</x:v>
      </x:c>
      <x:c r="M164" s="12" t="n">
        <x:v>0.2379114820346839</x:v>
      </x:c>
    </x:row>
    <x:row r="165">
      <x:c r="A165" t="str">
        <x:v>ORD-10164</x:v>
      </x:c>
      <x:c r="B165" s="8" t="n">
        <x:v>45514</x:v>
      </x:c>
      <x:c r="C165" t="n">
        <x:v>2024</x:v>
      </x:c>
      <x:c r="D165" t="str">
        <x:v>Singapore</x:v>
      </x:c>
      <x:c r="E165" t="str">
        <x:v>Asia</x:v>
      </x:c>
      <x:c r="F165" t="str">
        <x:v>Office Supplies</x:v>
      </x:c>
      <x:c r="G165" t="str">
        <x:v>Printer Paper</x:v>
      </x:c>
      <x:c r="H165" t="str">
        <x:v>Home Office</x:v>
      </x:c>
      <x:c r="I165" t="n">
        <x:v>110</x:v>
      </x:c>
      <x:c r="J165" s="10" t="n">
        <x:v>6917.04</x:v>
      </x:c>
      <x:c r="K165" s="10" t="n">
        <x:v>5267.34</x:v>
      </x:c>
      <x:c r="L165" s="10" t="n">
        <x:v>1649.7</x:v>
      </x:c>
      <x:c r="M165" s="12" t="n">
        <x:v>0.23849863490724713</x:v>
      </x:c>
    </x:row>
    <x:row r="166">
      <x:c r="A166" t="str">
        <x:v>ORD-10165</x:v>
      </x:c>
      <x:c r="B166" s="8" t="n">
        <x:v>45560</x:v>
      </x:c>
      <x:c r="C166" t="n">
        <x:v>2024</x:v>
      </x:c>
      <x:c r="D166" t="str">
        <x:v>Singapore</x:v>
      </x:c>
      <x:c r="E166" t="str">
        <x:v>Asia</x:v>
      </x:c>
      <x:c r="F166" t="str">
        <x:v>Technology</x:v>
      </x:c>
      <x:c r="G166" t="str">
        <x:v>Monitor</x:v>
      </x:c>
      <x:c r="H166" t="str">
        <x:v>Consumer</x:v>
      </x:c>
      <x:c r="I166" t="n">
        <x:v>96</x:v>
      </x:c>
      <x:c r="J166" s="10" t="n">
        <x:v>27871.74</x:v>
      </x:c>
      <x:c r="K166" s="10" t="n">
        <x:v>20622.99</x:v>
      </x:c>
      <x:c r="L166" s="10" t="n">
        <x:v>7248.75</x:v>
      </x:c>
      <x:c r="M166" s="12" t="n">
        <x:v>0.26007521600523403</x:v>
      </x:c>
    </x:row>
    <x:row r="167">
      <x:c r="A167" t="str">
        <x:v>ORD-10166</x:v>
      </x:c>
      <x:c r="B167" s="8" t="n">
        <x:v>45575</x:v>
      </x:c>
      <x:c r="C167" t="n">
        <x:v>2024</x:v>
      </x:c>
      <x:c r="D167" t="str">
        <x:v>Singapore</x:v>
      </x:c>
      <x:c r="E167" t="str">
        <x:v>Asia</x:v>
      </x:c>
      <x:c r="F167" t="str">
        <x:v>Office Supplies</x:v>
      </x:c>
      <x:c r="G167" t="str">
        <x:v>Pens</x:v>
      </x:c>
      <x:c r="H167" t="str">
        <x:v>Home Office</x:v>
      </x:c>
      <x:c r="I167" t="n">
        <x:v>27</x:v>
      </x:c>
      <x:c r="J167" s="10" t="n">
        <x:v>2093.11</x:v>
      </x:c>
      <x:c r="K167" s="10" t="n">
        <x:v>1658.66</x:v>
      </x:c>
      <x:c r="L167" s="10" t="n">
        <x:v>434.45</x:v>
      </x:c>
      <x:c r="M167" s="12" t="n">
        <x:v>0.20756087306686283</x:v>
      </x:c>
    </x:row>
    <x:row r="168">
      <x:c r="A168" t="str">
        <x:v>ORD-10167</x:v>
      </x:c>
      <x:c r="B168" s="8" t="n">
        <x:v>45606</x:v>
      </x:c>
      <x:c r="C168" t="n">
        <x:v>2024</x:v>
      </x:c>
      <x:c r="D168" t="str">
        <x:v>Singapore</x:v>
      </x:c>
      <x:c r="E168" t="str">
        <x:v>Asia</x:v>
      </x:c>
      <x:c r="F168" t="str">
        <x:v>Furniture</x:v>
      </x:c>
      <x:c r="G168" t="str">
        <x:v>Office Chair</x:v>
      </x:c>
      <x:c r="H168" t="str">
        <x:v>Home Office</x:v>
      </x:c>
      <x:c r="I168" t="n">
        <x:v>61</x:v>
      </x:c>
      <x:c r="J168" s="10" t="n">
        <x:v>15091.31</x:v>
      </x:c>
      <x:c r="K168" s="10" t="n">
        <x:v>12362.56</x:v>
      </x:c>
      <x:c r="L168" s="10" t="n">
        <x:v>2728.75</x:v>
      </x:c>
      <x:c r="M168" s="12" t="n">
        <x:v>0.18081600508954626</x:v>
      </x:c>
    </x:row>
    <x:row r="169">
      <x:c r="A169" t="str">
        <x:v>ORD-10168</x:v>
      </x:c>
      <x:c r="B169" s="8" t="n">
        <x:v>45638</x:v>
      </x:c>
      <x:c r="C169" t="n">
        <x:v>2024</x:v>
      </x:c>
      <x:c r="D169" t="str">
        <x:v>Singapore</x:v>
      </x:c>
      <x:c r="E169" t="str">
        <x:v>Asia</x:v>
      </x:c>
      <x:c r="F169" t="str">
        <x:v>Furniture</x:v>
      </x:c>
      <x:c r="G169" t="str">
        <x:v>Storage Cabinet</x:v>
      </x:c>
      <x:c r="H169" t="str">
        <x:v>Consumer</x:v>
      </x:c>
      <x:c r="I169" t="n">
        <x:v>40</x:v>
      </x:c>
      <x:c r="J169" s="10" t="n">
        <x:v>6899.74</x:v>
      </x:c>
      <x:c r="K169" s="10" t="n">
        <x:v>5280.17</x:v>
      </x:c>
      <x:c r="L169" s="10" t="n">
        <x:v>1619.57</x:v>
      </x:c>
      <x:c r="M169" s="12" t="n">
        <x:v>0.23472893107813056</x:v>
      </x:c>
    </x:row>
    <x:row r="170">
      <x:c r="A170" t="str">
        <x:v>ORD-10169</x:v>
      </x:c>
      <x:c r="B170" s="8" t="n">
        <x:v>45317</x:v>
      </x:c>
      <x:c r="C170" t="n">
        <x:v>2024</x:v>
      </x:c>
      <x:c r="D170" t="str">
        <x:v>Australia</x:v>
      </x:c>
      <x:c r="E170" t="str">
        <x:v>Oceania</x:v>
      </x:c>
      <x:c r="F170" t="str">
        <x:v>Office Supplies</x:v>
      </x:c>
      <x:c r="G170" t="str">
        <x:v>Binders</x:v>
      </x:c>
      <x:c r="H170" t="str">
        <x:v>Consumer</x:v>
      </x:c>
      <x:c r="I170" t="n">
        <x:v>47</x:v>
      </x:c>
      <x:c r="J170" s="10" t="n">
        <x:v>4576.96</x:v>
      </x:c>
      <x:c r="K170" s="10" t="n">
        <x:v>3463.38</x:v>
      </x:c>
      <x:c r="L170" s="10" t="n">
        <x:v>1113.59</x:v>
      </x:c>
      <x:c r="M170" s="12" t="n">
        <x:v>0.2433025379316638</x:v>
      </x:c>
    </x:row>
    <x:row r="171">
      <x:c r="A171" t="str">
        <x:v>ORD-10170</x:v>
      </x:c>
      <x:c r="B171" s="8" t="n">
        <x:v>45330</x:v>
      </x:c>
      <x:c r="C171" t="n">
        <x:v>2024</x:v>
      </x:c>
      <x:c r="D171" t="str">
        <x:v>Australia</x:v>
      </x:c>
      <x:c r="E171" t="str">
        <x:v>Oceania</x:v>
      </x:c>
      <x:c r="F171" t="str">
        <x:v>Furniture</x:v>
      </x:c>
      <x:c r="G171" t="str">
        <x:v>Bookshelf</x:v>
      </x:c>
      <x:c r="H171" t="str">
        <x:v>Consumer</x:v>
      </x:c>
      <x:c r="I171" t="n">
        <x:v>74</x:v>
      </x:c>
      <x:c r="J171" s="10" t="n">
        <x:v>25545.64</x:v>
      </x:c>
      <x:c r="K171" s="10" t="n">
        <x:v>20771.39</x:v>
      </x:c>
      <x:c r="L171" s="10" t="n">
        <x:v>4774.25</x:v>
      </x:c>
      <x:c r="M171" s="12" t="n">
        <x:v>0.18689084180070595</x:v>
      </x:c>
    </x:row>
    <x:row r="172">
      <x:c r="A172" t="str">
        <x:v>ORD-10171</x:v>
      </x:c>
      <x:c r="B172" s="8" t="n">
        <x:v>45360</x:v>
      </x:c>
      <x:c r="C172" t="n">
        <x:v>2024</x:v>
      </x:c>
      <x:c r="D172" t="str">
        <x:v>Australia</x:v>
      </x:c>
      <x:c r="E172" t="str">
        <x:v>Oceania</x:v>
      </x:c>
      <x:c r="F172" t="str">
        <x:v>Office Supplies</x:v>
      </x:c>
      <x:c r="G172" t="str">
        <x:v>Desk Organizer</x:v>
      </x:c>
      <x:c r="H172" t="str">
        <x:v>Home Office</x:v>
      </x:c>
      <x:c r="I172" t="n">
        <x:v>61</x:v>
      </x:c>
      <x:c r="J172" s="10" t="n">
        <x:v>3679.13</x:v>
      </x:c>
      <x:c r="K172" s="10" t="n">
        <x:v>3026.64</x:v>
      </x:c>
      <x:c r="L172" s="10" t="n">
        <x:v>652.49</x:v>
      </x:c>
      <x:c r="M172" s="12" t="n">
        <x:v>0.17734894723944536</x:v>
      </x:c>
    </x:row>
    <x:row r="173">
      <x:c r="A173" t="str">
        <x:v>ORD-10172</x:v>
      </x:c>
      <x:c r="B173" s="8" t="n">
        <x:v>45401</x:v>
      </x:c>
      <x:c r="C173" t="n">
        <x:v>2024</x:v>
      </x:c>
      <x:c r="D173" t="str">
        <x:v>Australia</x:v>
      </x:c>
      <x:c r="E173" t="str">
        <x:v>Oceania</x:v>
      </x:c>
      <x:c r="F173" t="str">
        <x:v>Office Supplies</x:v>
      </x:c>
      <x:c r="G173" t="str">
        <x:v>Printer Paper</x:v>
      </x:c>
      <x:c r="H173" t="str">
        <x:v>Corporate</x:v>
      </x:c>
      <x:c r="I173" t="n">
        <x:v>62</x:v>
      </x:c>
      <x:c r="J173" s="10" t="n">
        <x:v>5364.69</x:v>
      </x:c>
      <x:c r="K173" s="10" t="n">
        <x:v>4234.45</x:v>
      </x:c>
      <x:c r="L173" s="10" t="n">
        <x:v>1130.24</x:v>
      </x:c>
      <x:c r="M173" s="12" t="n">
        <x:v>0.21068089568212162</x:v>
      </x:c>
    </x:row>
    <x:row r="174">
      <x:c r="A174" t="str">
        <x:v>ORD-10173</x:v>
      </x:c>
      <x:c r="B174" s="8" t="n">
        <x:v>45430</x:v>
      </x:c>
      <x:c r="C174" t="n">
        <x:v>2024</x:v>
      </x:c>
      <x:c r="D174" t="str">
        <x:v>Australia</x:v>
      </x:c>
      <x:c r="E174" t="str">
        <x:v>Oceania</x:v>
      </x:c>
      <x:c r="F174" t="str">
        <x:v>Furniture</x:v>
      </x:c>
      <x:c r="G174" t="str">
        <x:v>Bookshelf</x:v>
      </x:c>
      <x:c r="H174" t="str">
        <x:v>Consumer</x:v>
      </x:c>
      <x:c r="I174" t="n">
        <x:v>101</x:v>
      </x:c>
      <x:c r="J174" s="10" t="n">
        <x:v>23379.1</x:v>
      </x:c>
      <x:c r="K174" s="10" t="n">
        <x:v>19334.44</x:v>
      </x:c>
      <x:c r="L174" s="10" t="n">
        <x:v>4044.65</x:v>
      </x:c>
      <x:c r="M174" s="12" t="n">
        <x:v>0.17300295795757792</x:v>
      </x:c>
    </x:row>
    <x:row r="175">
      <x:c r="A175" t="str">
        <x:v>ORD-10174</x:v>
      </x:c>
      <x:c r="B175" s="8" t="n">
        <x:v>45466</x:v>
      </x:c>
      <x:c r="C175" t="n">
        <x:v>2024</x:v>
      </x:c>
      <x:c r="D175" t="str">
        <x:v>Australia</x:v>
      </x:c>
      <x:c r="E175" t="str">
        <x:v>Oceania</x:v>
      </x:c>
      <x:c r="F175" t="str">
        <x:v>Furniture</x:v>
      </x:c>
      <x:c r="G175" t="str">
        <x:v>Desk</x:v>
      </x:c>
      <x:c r="H175" t="str">
        <x:v>Home Office</x:v>
      </x:c>
      <x:c r="I175" t="n">
        <x:v>23</x:v>
      </x:c>
      <x:c r="J175" s="10" t="n">
        <x:v>6764.83</x:v>
      </x:c>
      <x:c r="K175" s="10" t="n">
        <x:v>5237.93</x:v>
      </x:c>
      <x:c r="L175" s="10" t="n">
        <x:v>1526.9</x:v>
      </x:c>
      <x:c r="M175" s="12" t="n">
        <x:v>0.22571210435872172</x:v>
      </x:c>
    </x:row>
    <x:row r="176">
      <x:c r="A176" t="str">
        <x:v>ORD-10175</x:v>
      </x:c>
      <x:c r="B176" s="8" t="n">
        <x:v>45489</x:v>
      </x:c>
      <x:c r="C176" t="n">
        <x:v>2024</x:v>
      </x:c>
      <x:c r="D176" t="str">
        <x:v>Australia</x:v>
      </x:c>
      <x:c r="E176" t="str">
        <x:v>Oceania</x:v>
      </x:c>
      <x:c r="F176" t="str">
        <x:v>Furniture</x:v>
      </x:c>
      <x:c r="G176" t="str">
        <x:v>Storage Cabinet</x:v>
      </x:c>
      <x:c r="H176" t="str">
        <x:v>Consumer</x:v>
      </x:c>
      <x:c r="I176" t="n">
        <x:v>32</x:v>
      </x:c>
      <x:c r="J176" s="10" t="n">
        <x:v>6466.37</x:v>
      </x:c>
      <x:c r="K176" s="10" t="n">
        <x:v>5338.21</x:v>
      </x:c>
      <x:c r="L176" s="10" t="n">
        <x:v>1128.16</x:v>
      </x:c>
      <x:c r="M176" s="12" t="n">
        <x:v>0.17446545538696465</x:v>
      </x:c>
    </x:row>
    <x:row r="177">
      <x:c r="A177" t="str">
        <x:v>ORD-10176</x:v>
      </x:c>
      <x:c r="B177" s="8" t="n">
        <x:v>45526</x:v>
      </x:c>
      <x:c r="C177" t="n">
        <x:v>2024</x:v>
      </x:c>
      <x:c r="D177" t="str">
        <x:v>Australia</x:v>
      </x:c>
      <x:c r="E177" t="str">
        <x:v>Oceania</x:v>
      </x:c>
      <x:c r="F177" t="str">
        <x:v>Technology</x:v>
      </x:c>
      <x:c r="G177" t="str">
        <x:v>Laptop</x:v>
      </x:c>
      <x:c r="H177" t="str">
        <x:v>Consumer</x:v>
      </x:c>
      <x:c r="I177" t="n">
        <x:v>83</x:v>
      </x:c>
      <x:c r="J177" s="10" t="n">
        <x:v>28982.55</x:v>
      </x:c>
      <x:c r="K177" s="10" t="n">
        <x:v>20738.83</x:v>
      </x:c>
      <x:c r="L177" s="10" t="n">
        <x:v>8243.72</x:v>
      </x:c>
      <x:c r="M177" s="12" t="n">
        <x:v>0.28443725082666704</x:v>
      </x:c>
    </x:row>
    <x:row r="178">
      <x:c r="A178" t="str">
        <x:v>ORD-10177</x:v>
      </x:c>
      <x:c r="B178" s="8" t="n">
        <x:v>45556</x:v>
      </x:c>
      <x:c r="C178" t="n">
        <x:v>2024</x:v>
      </x:c>
      <x:c r="D178" t="str">
        <x:v>Australia</x:v>
      </x:c>
      <x:c r="E178" t="str">
        <x:v>Oceania</x:v>
      </x:c>
      <x:c r="F178" t="str">
        <x:v>Office Supplies</x:v>
      </x:c>
      <x:c r="G178" t="str">
        <x:v>Desk Organizer</x:v>
      </x:c>
      <x:c r="H178" t="str">
        <x:v>Home Office</x:v>
      </x:c>
      <x:c r="I178" t="n">
        <x:v>110</x:v>
      </x:c>
      <x:c r="J178" s="10" t="n">
        <x:v>9784.17</x:v>
      </x:c>
      <x:c r="K178" s="10" t="n">
        <x:v>7472.66</x:v>
      </x:c>
      <x:c r="L178" s="10" t="n">
        <x:v>2311.51</x:v>
      </x:c>
      <x:c r="M178" s="12" t="n">
        <x:v>0.23624965406794948</x:v>
      </x:c>
    </x:row>
    <x:row r="179">
      <x:c r="A179" t="str">
        <x:v>ORD-10178</x:v>
      </x:c>
      <x:c r="B179" s="8" t="n">
        <x:v>45588</x:v>
      </x:c>
      <x:c r="C179" t="n">
        <x:v>2024</x:v>
      </x:c>
      <x:c r="D179" t="str">
        <x:v>Australia</x:v>
      </x:c>
      <x:c r="E179" t="str">
        <x:v>Oceania</x:v>
      </x:c>
      <x:c r="F179" t="str">
        <x:v>Technology</x:v>
      </x:c>
      <x:c r="G179" t="str">
        <x:v>Headphones</x:v>
      </x:c>
      <x:c r="H179" t="str">
        <x:v>Home Office</x:v>
      </x:c>
      <x:c r="I179" t="n">
        <x:v>67</x:v>
      </x:c>
      <x:c r="J179" s="10" t="n">
        <x:v>36959.97</x:v>
      </x:c>
      <x:c r="K179" s="10" t="n">
        <x:v>27218.48</x:v>
      </x:c>
      <x:c r="L179" s="10" t="n">
        <x:v>9741.5</x:v>
      </x:c>
      <x:c r="M179" s="12" t="n">
        <x:v>0.2635688168102946</x:v>
      </x:c>
    </x:row>
    <x:row r="180">
      <x:c r="A180" t="str">
        <x:v>ORD-10179</x:v>
      </x:c>
      <x:c r="B180" s="8" t="n">
        <x:v>45600</x:v>
      </x:c>
      <x:c r="C180" t="n">
        <x:v>2024</x:v>
      </x:c>
      <x:c r="D180" t="str">
        <x:v>Australia</x:v>
      </x:c>
      <x:c r="E180" t="str">
        <x:v>Oceania</x:v>
      </x:c>
      <x:c r="F180" t="str">
        <x:v>Furniture</x:v>
      </x:c>
      <x:c r="G180" t="str">
        <x:v>Desk</x:v>
      </x:c>
      <x:c r="H180" t="str">
        <x:v>Corporate</x:v>
      </x:c>
      <x:c r="I180" t="n">
        <x:v>71</x:v>
      </x:c>
      <x:c r="J180" s="10" t="n">
        <x:v>24373.35</x:v>
      </x:c>
      <x:c r="K180" s="10" t="n">
        <x:v>17727.86</x:v>
      </x:c>
      <x:c r="L180" s="10" t="n">
        <x:v>6645.49</x:v>
      </x:c>
      <x:c r="M180" s="12" t="n">
        <x:v>0.2726540231967145</x:v>
      </x:c>
    </x:row>
    <x:row r="181">
      <x:c r="A181" t="str">
        <x:v>ORD-10180</x:v>
      </x:c>
      <x:c r="B181" s="8" t="n">
        <x:v>45633</x:v>
      </x:c>
      <x:c r="C181" t="n">
        <x:v>2024</x:v>
      </x:c>
      <x:c r="D181" t="str">
        <x:v>Australia</x:v>
      </x:c>
      <x:c r="E181" t="str">
        <x:v>Oceania</x:v>
      </x:c>
      <x:c r="F181" t="str">
        <x:v>Office Supplies</x:v>
      </x:c>
      <x:c r="G181" t="str">
        <x:v>Binders</x:v>
      </x:c>
      <x:c r="H181" t="str">
        <x:v>Home Office</x:v>
      </x:c>
      <x:c r="I181" t="n">
        <x:v>97</x:v>
      </x:c>
      <x:c r="J181" s="10" t="n">
        <x:v>7021.86</x:v>
      </x:c>
      <x:c r="K181" s="10" t="n">
        <x:v>5773.54</x:v>
      </x:c>
      <x:c r="L181" s="10" t="n">
        <x:v>1248.32</x:v>
      </x:c>
      <x:c r="M181" s="12" t="n">
        <x:v>0.1777767571293247</x:v>
      </x:c>
    </x:row>
    <x:row r="182">
      <x:c r="A182" t="str">
        <x:v>ORD-10181</x:v>
      </x:c>
      <x:c r="B182" s="8" t="n">
        <x:v>45292</x:v>
      </x:c>
      <x:c r="C182" t="n">
        <x:v>2024</x:v>
      </x:c>
      <x:c r="D182" t="str">
        <x:v>UAE</x:v>
      </x:c>
      <x:c r="E182" t="str">
        <x:v>Middle East</x:v>
      </x:c>
      <x:c r="F182" t="str">
        <x:v>Technology</x:v>
      </x:c>
      <x:c r="G182" t="str">
        <x:v>Headphones</x:v>
      </x:c>
      <x:c r="H182" t="str">
        <x:v>Consumer</x:v>
      </x:c>
      <x:c r="I182" t="n">
        <x:v>99</x:v>
      </x:c>
      <x:c r="J182" s="10" t="n">
        <x:v>32828.95</x:v>
      </x:c>
      <x:c r="K182" s="10" t="n">
        <x:v>22759.03</x:v>
      </x:c>
      <x:c r="L182" s="10" t="n">
        <x:v>10069.93</x:v>
      </x:c>
      <x:c r="M182" s="12" t="n">
        <x:v>0.30673915022356446</x:v>
      </x:c>
    </x:row>
    <x:row r="183">
      <x:c r="A183" t="str">
        <x:v>ORD-10182</x:v>
      </x:c>
      <x:c r="B183" s="8" t="n">
        <x:v>45349</x:v>
      </x:c>
      <x:c r="C183" t="n">
        <x:v>2024</x:v>
      </x:c>
      <x:c r="D183" t="str">
        <x:v>UAE</x:v>
      </x:c>
      <x:c r="E183" t="str">
        <x:v>Middle East</x:v>
      </x:c>
      <x:c r="F183" t="str">
        <x:v>Technology</x:v>
      </x:c>
      <x:c r="G183" t="str">
        <x:v>Monitor</x:v>
      </x:c>
      <x:c r="H183" t="str">
        <x:v>Consumer</x:v>
      </x:c>
      <x:c r="I183" t="n">
        <x:v>31</x:v>
      </x:c>
      <x:c r="J183" s="10" t="n">
        <x:v>14321.59</x:v>
      </x:c>
      <x:c r="K183" s="10" t="n">
        <x:v>10674.96</x:v>
      </x:c>
      <x:c r="L183" s="10" t="n">
        <x:v>3646.63</x:v>
      </x:c>
      <x:c r="M183" s="12" t="n">
        <x:v>0.25462466901714514</x:v>
      </x:c>
    </x:row>
    <x:row r="184">
      <x:c r="A184" t="str">
        <x:v>ORD-10183</x:v>
      </x:c>
      <x:c r="B184" s="8" t="n">
        <x:v>45376</x:v>
      </x:c>
      <x:c r="C184" t="n">
        <x:v>2024</x:v>
      </x:c>
      <x:c r="D184" t="str">
        <x:v>UAE</x:v>
      </x:c>
      <x:c r="E184" t="str">
        <x:v>Middle East</x:v>
      </x:c>
      <x:c r="F184" t="str">
        <x:v>Office Supplies</x:v>
      </x:c>
      <x:c r="G184" t="str">
        <x:v>Pens</x:v>
      </x:c>
      <x:c r="H184" t="str">
        <x:v>Home Office</x:v>
      </x:c>
      <x:c r="I184" t="n">
        <x:v>42</x:v>
      </x:c>
      <x:c r="J184" s="10" t="n">
        <x:v>3509.25</x:v>
      </x:c>
      <x:c r="K184" s="10" t="n">
        <x:v>2954.93</x:v>
      </x:c>
      <x:c r="L184" s="10" t="n">
        <x:v>554.32</x:v>
      </x:c>
      <x:c r="M184" s="12" t="n">
        <x:v>0.1579598414855238</x:v>
      </x:c>
    </x:row>
    <x:row r="185">
      <x:c r="A185" t="str">
        <x:v>ORD-10184</x:v>
      </x:c>
      <x:c r="B185" s="8" t="n">
        <x:v>45408</x:v>
      </x:c>
      <x:c r="C185" t="n">
        <x:v>2024</x:v>
      </x:c>
      <x:c r="D185" t="str">
        <x:v>UAE</x:v>
      </x:c>
      <x:c r="E185" t="str">
        <x:v>Middle East</x:v>
      </x:c>
      <x:c r="F185" t="str">
        <x:v>Technology</x:v>
      </x:c>
      <x:c r="G185" t="str">
        <x:v>Laptop</x:v>
      </x:c>
      <x:c r="H185" t="str">
        <x:v>Corporate</x:v>
      </x:c>
      <x:c r="I185" t="n">
        <x:v>33</x:v>
      </x:c>
      <x:c r="J185" s="10" t="n">
        <x:v>16746.55</x:v>
      </x:c>
      <x:c r="K185" s="10" t="n">
        <x:v>11809.23</x:v>
      </x:c>
      <x:c r="L185" s="10" t="n">
        <x:v>4937.32</x:v>
      </x:c>
      <x:c r="M185" s="12" t="n">
        <x:v>0.29482585482357815</x:v>
      </x:c>
    </x:row>
    <x:row r="186">
      <x:c r="A186" t="str">
        <x:v>ORD-10185</x:v>
      </x:c>
      <x:c r="B186" s="8" t="n">
        <x:v>45438</x:v>
      </x:c>
      <x:c r="C186" t="n">
        <x:v>2024</x:v>
      </x:c>
      <x:c r="D186" t="str">
        <x:v>UAE</x:v>
      </x:c>
      <x:c r="E186" t="str">
        <x:v>Middle East</x:v>
      </x:c>
      <x:c r="F186" t="str">
        <x:v>Technology</x:v>
      </x:c>
      <x:c r="G186" t="str">
        <x:v>Laptop</x:v>
      </x:c>
      <x:c r="H186" t="str">
        <x:v>Home Office</x:v>
      </x:c>
      <x:c r="I186" t="n">
        <x:v>18</x:v>
      </x:c>
      <x:c r="J186" s="10" t="n">
        <x:v>5641.07</x:v>
      </x:c>
      <x:c r="K186" s="10" t="n">
        <x:v>4101.12</x:v>
      </x:c>
      <x:c r="L186" s="10" t="n">
        <x:v>1539.95</x:v>
      </x:c>
      <x:c r="M186" s="12" t="n">
        <x:v>0.27298907350598384</x:v>
      </x:c>
    </x:row>
    <x:row r="187">
      <x:c r="A187" t="str">
        <x:v>ORD-10186</x:v>
      </x:c>
      <x:c r="B187" s="8" t="n">
        <x:v>45457</x:v>
      </x:c>
      <x:c r="C187" t="n">
        <x:v>2024</x:v>
      </x:c>
      <x:c r="D187" t="str">
        <x:v>UAE</x:v>
      </x:c>
      <x:c r="E187" t="str">
        <x:v>Middle East</x:v>
      </x:c>
      <x:c r="F187" t="str">
        <x:v>Technology</x:v>
      </x:c>
      <x:c r="G187" t="str">
        <x:v>Monitor</x:v>
      </x:c>
      <x:c r="H187" t="str">
        <x:v>Consumer</x:v>
      </x:c>
      <x:c r="I187" t="n">
        <x:v>37</x:v>
      </x:c>
      <x:c r="J187" s="10" t="n">
        <x:v>12716.36</x:v>
      </x:c>
      <x:c r="K187" s="10" t="n">
        <x:v>9598.17</x:v>
      </x:c>
      <x:c r="L187" s="10" t="n">
        <x:v>3118.19</x:v>
      </x:c>
      <x:c r="M187" s="12" t="n">
        <x:v>0.24521102524553368</x:v>
      </x:c>
    </x:row>
    <x:row r="188">
      <x:c r="A188" t="str">
        <x:v>ORD-10187</x:v>
      </x:c>
      <x:c r="B188" s="8" t="n">
        <x:v>45490</x:v>
      </x:c>
      <x:c r="C188" t="n">
        <x:v>2024</x:v>
      </x:c>
      <x:c r="D188" t="str">
        <x:v>UAE</x:v>
      </x:c>
      <x:c r="E188" t="str">
        <x:v>Middle East</x:v>
      </x:c>
      <x:c r="F188" t="str">
        <x:v>Office Supplies</x:v>
      </x:c>
      <x:c r="G188" t="str">
        <x:v>Printer Paper</x:v>
      </x:c>
      <x:c r="H188" t="str">
        <x:v>Home Office</x:v>
      </x:c>
      <x:c r="I188" t="n">
        <x:v>23</x:v>
      </x:c>
      <x:c r="J188" s="10" t="n">
        <x:v>1608</x:v>
      </x:c>
      <x:c r="K188" s="10" t="n">
        <x:v>1248.83</x:v>
      </x:c>
      <x:c r="L188" s="10" t="n">
        <x:v>359.17</x:v>
      </x:c>
      <x:c r="M188" s="12" t="n">
        <x:v>0.22336204471770424</x:v>
      </x:c>
    </x:row>
    <x:row r="189">
      <x:c r="A189" t="str">
        <x:v>ORD-10188</x:v>
      </x:c>
      <x:c r="B189" s="8" t="n">
        <x:v>45528</x:v>
      </x:c>
      <x:c r="C189" t="n">
        <x:v>2024</x:v>
      </x:c>
      <x:c r="D189" t="str">
        <x:v>UAE</x:v>
      </x:c>
      <x:c r="E189" t="str">
        <x:v>Middle East</x:v>
      </x:c>
      <x:c r="F189" t="str">
        <x:v>Office Supplies</x:v>
      </x:c>
      <x:c r="G189" t="str">
        <x:v>Printer Paper</x:v>
      </x:c>
      <x:c r="H189" t="str">
        <x:v>Corporate</x:v>
      </x:c>
      <x:c r="I189" t="n">
        <x:v>79</x:v>
      </x:c>
      <x:c r="J189" s="10" t="n">
        <x:v>4708.22</x:v>
      </x:c>
      <x:c r="K189" s="10" t="n">
        <x:v>3748.63</x:v>
      </x:c>
      <x:c r="L189" s="10" t="n">
        <x:v>959.6</x:v>
      </x:c>
      <x:c r="M189" s="12" t="n">
        <x:v>0.20381282035413242</x:v>
      </x:c>
    </x:row>
    <x:row r="190">
      <x:c r="A190" t="str">
        <x:v>ORD-10189</x:v>
      </x:c>
      <x:c r="B190" s="8" t="n">
        <x:v>45551</x:v>
      </x:c>
      <x:c r="C190" t="n">
        <x:v>2024</x:v>
      </x:c>
      <x:c r="D190" t="str">
        <x:v>UAE</x:v>
      </x:c>
      <x:c r="E190" t="str">
        <x:v>Middle East</x:v>
      </x:c>
      <x:c r="F190" t="str">
        <x:v>Office Supplies</x:v>
      </x:c>
      <x:c r="G190" t="str">
        <x:v>Binders</x:v>
      </x:c>
      <x:c r="H190" t="str">
        <x:v>Corporate</x:v>
      </x:c>
      <x:c r="I190" t="n">
        <x:v>97</x:v>
      </x:c>
      <x:c r="J190" s="10" t="n">
        <x:v>8697.8</x:v>
      </x:c>
      <x:c r="K190" s="10" t="n">
        <x:v>7503.6</x:v>
      </x:c>
      <x:c r="L190" s="10" t="n">
        <x:v>1194.2</x:v>
      </x:c>
      <x:c r="M190" s="12" t="n">
        <x:v>0.1372990488993406</x:v>
      </x:c>
    </x:row>
    <x:row r="191">
      <x:c r="A191" t="str">
        <x:v>ORD-10190</x:v>
      </x:c>
      <x:c r="B191" s="8" t="n">
        <x:v>45568</x:v>
      </x:c>
      <x:c r="C191" t="n">
        <x:v>2024</x:v>
      </x:c>
      <x:c r="D191" t="str">
        <x:v>UAE</x:v>
      </x:c>
      <x:c r="E191" t="str">
        <x:v>Middle East</x:v>
      </x:c>
      <x:c r="F191" t="str">
        <x:v>Furniture</x:v>
      </x:c>
      <x:c r="G191" t="str">
        <x:v>Storage Cabinet</x:v>
      </x:c>
      <x:c r="H191" t="str">
        <x:v>Home Office</x:v>
      </x:c>
      <x:c r="I191" t="n">
        <x:v>28</x:v>
      </x:c>
      <x:c r="J191" s="10" t="n">
        <x:v>6841.34</x:v>
      </x:c>
      <x:c r="K191" s="10" t="n">
        <x:v>4931.49</x:v>
      </x:c>
      <x:c r="L191" s="10" t="n">
        <x:v>1909.86</x:v>
      </x:c>
      <x:c r="M191" s="12" t="n">
        <x:v>0.2791640994938276</x:v>
      </x:c>
    </x:row>
    <x:row r="192">
      <x:c r="A192" t="str">
        <x:v>ORD-10191</x:v>
      </x:c>
      <x:c r="B192" s="8" t="n">
        <x:v>45617</x:v>
      </x:c>
      <x:c r="C192" t="n">
        <x:v>2024</x:v>
      </x:c>
      <x:c r="D192" t="str">
        <x:v>UAE</x:v>
      </x:c>
      <x:c r="E192" t="str">
        <x:v>Middle East</x:v>
      </x:c>
      <x:c r="F192" t="str">
        <x:v>Technology</x:v>
      </x:c>
      <x:c r="G192" t="str">
        <x:v>Monitor</x:v>
      </x:c>
      <x:c r="H192" t="str">
        <x:v>Home Office</x:v>
      </x:c>
      <x:c r="I192" t="n">
        <x:v>33</x:v>
      </x:c>
      <x:c r="J192" s="10" t="n">
        <x:v>9847.09</x:v>
      </x:c>
      <x:c r="K192" s="10" t="n">
        <x:v>7257.29</x:v>
      </x:c>
      <x:c r="L192" s="10" t="n">
        <x:v>2589.8</x:v>
      </x:c>
      <x:c r="M192" s="12" t="n">
        <x:v>0.26300191994695443</x:v>
      </x:c>
    </x:row>
    <x:row r="193">
      <x:c r="A193" t="str">
        <x:v>ORD-10192</x:v>
      </x:c>
      <x:c r="B193" s="8" t="n">
        <x:v>45646</x:v>
      </x:c>
      <x:c r="C193" t="n">
        <x:v>2024</x:v>
      </x:c>
      <x:c r="D193" t="str">
        <x:v>UAE</x:v>
      </x:c>
      <x:c r="E193" t="str">
        <x:v>Middle East</x:v>
      </x:c>
      <x:c r="F193" t="str">
        <x:v>Office Supplies</x:v>
      </x:c>
      <x:c r="G193" t="str">
        <x:v>Binders</x:v>
      </x:c>
      <x:c r="H193" t="str">
        <x:v>Corporate</x:v>
      </x:c>
      <x:c r="I193" t="n">
        <x:v>91</x:v>
      </x:c>
      <x:c r="J193" s="10" t="n">
        <x:v>6562.24</x:v>
      </x:c>
      <x:c r="K193" s="10" t="n">
        <x:v>5351.86</x:v>
      </x:c>
      <x:c r="L193" s="10" t="n">
        <x:v>1210.38</x:v>
      </x:c>
      <x:c r="M193" s="12" t="n">
        <x:v>0.18444585010905662</x:v>
      </x:c>
    </x:row>
    <x:row r="194">
      <x:c r="A194" t="str">
        <x:v>ORD-10193</x:v>
      </x:c>
      <x:c r="B194" s="8" t="n">
        <x:v>45316</x:v>
      </x:c>
      <x:c r="C194" t="n">
        <x:v>2024</x:v>
      </x:c>
      <x:c r="D194" t="str">
        <x:v>Saudi Arabia</x:v>
      </x:c>
      <x:c r="E194" t="str">
        <x:v>Middle East</x:v>
      </x:c>
      <x:c r="F194" t="str">
        <x:v>Furniture</x:v>
      </x:c>
      <x:c r="G194" t="str">
        <x:v>Office Chair</x:v>
      </x:c>
      <x:c r="H194" t="str">
        <x:v>Home Office</x:v>
      </x:c>
      <x:c r="I194" t="n">
        <x:v>29</x:v>
      </x:c>
      <x:c r="J194" s="10" t="n">
        <x:v>6849.38</x:v>
      </x:c>
      <x:c r="K194" s="10" t="n">
        <x:v>5149.98</x:v>
      </x:c>
      <x:c r="L194" s="10" t="n">
        <x:v>1699.4</x:v>
      </x:c>
      <x:c r="M194" s="12" t="n">
        <x:v>0.24810999978575665</x:v>
      </x:c>
    </x:row>
    <x:row r="195">
      <x:c r="A195" t="str">
        <x:v>ORD-10194</x:v>
      </x:c>
      <x:c r="B195" s="8" t="n">
        <x:v>45349</x:v>
      </x:c>
      <x:c r="C195" t="n">
        <x:v>2024</x:v>
      </x:c>
      <x:c r="D195" t="str">
        <x:v>Saudi Arabia</x:v>
      </x:c>
      <x:c r="E195" t="str">
        <x:v>Middle East</x:v>
      </x:c>
      <x:c r="F195" t="str">
        <x:v>Office Supplies</x:v>
      </x:c>
      <x:c r="G195" t="str">
        <x:v>Pens</x:v>
      </x:c>
      <x:c r="H195" t="str">
        <x:v>Corporate</x:v>
      </x:c>
      <x:c r="I195" t="n">
        <x:v>72</x:v>
      </x:c>
      <x:c r="J195" s="10" t="n">
        <x:v>4987.74</x:v>
      </x:c>
      <x:c r="K195" s="10" t="n">
        <x:v>4091.65</x:v>
      </x:c>
      <x:c r="L195" s="10" t="n">
        <x:v>896.09</x:v>
      </x:c>
      <x:c r="M195" s="12" t="n">
        <x:v>0.1796576285412296</x:v>
      </x:c>
    </x:row>
    <x:row r="196">
      <x:c r="A196" t="str">
        <x:v>ORD-10195</x:v>
      </x:c>
      <x:c r="B196" s="8" t="n">
        <x:v>45373</x:v>
      </x:c>
      <x:c r="C196" t="n">
        <x:v>2024</x:v>
      </x:c>
      <x:c r="D196" t="str">
        <x:v>Saudi Arabia</x:v>
      </x:c>
      <x:c r="E196" t="str">
        <x:v>Middle East</x:v>
      </x:c>
      <x:c r="F196" t="str">
        <x:v>Furniture</x:v>
      </x:c>
      <x:c r="G196" t="str">
        <x:v>Storage Cabinet</x:v>
      </x:c>
      <x:c r="H196" t="str">
        <x:v>Corporate</x:v>
      </x:c>
      <x:c r="I196" t="n">
        <x:v>108</x:v>
      </x:c>
      <x:c r="J196" s="10" t="n">
        <x:v>16316.64</x:v>
      </x:c>
      <x:c r="K196" s="10" t="n">
        <x:v>12707.21</x:v>
      </x:c>
      <x:c r="L196" s="10" t="n">
        <x:v>3609.43</x:v>
      </x:c>
      <x:c r="M196" s="12" t="n">
        <x:v>0.2212116807513149</x:v>
      </x:c>
    </x:row>
    <x:row r="197">
      <x:c r="A197" t="str">
        <x:v>ORD-10196</x:v>
      </x:c>
      <x:c r="B197" s="8" t="n">
        <x:v>45409</x:v>
      </x:c>
      <x:c r="C197" t="n">
        <x:v>2024</x:v>
      </x:c>
      <x:c r="D197" t="str">
        <x:v>Saudi Arabia</x:v>
      </x:c>
      <x:c r="E197" t="str">
        <x:v>Middle East</x:v>
      </x:c>
      <x:c r="F197" t="str">
        <x:v>Furniture</x:v>
      </x:c>
      <x:c r="G197" t="str">
        <x:v>Bookshelf</x:v>
      </x:c>
      <x:c r="H197" t="str">
        <x:v>Consumer</x:v>
      </x:c>
      <x:c r="I197" t="n">
        <x:v>102</x:v>
      </x:c>
      <x:c r="J197" s="10" t="n">
        <x:v>24895.11</x:v>
      </x:c>
      <x:c r="K197" s="10" t="n">
        <x:v>20462.38</x:v>
      </x:c>
      <x:c r="L197" s="10" t="n">
        <x:v>4432.72</x:v>
      </x:c>
      <x:c r="M197" s="12" t="n">
        <x:v>0.17805599697639773</x:v>
      </x:c>
    </x:row>
    <x:row r="198">
      <x:c r="A198" t="str">
        <x:v>ORD-10197</x:v>
      </x:c>
      <x:c r="B198" s="8" t="n">
        <x:v>45417</x:v>
      </x:c>
      <x:c r="C198" t="n">
        <x:v>2024</x:v>
      </x:c>
      <x:c r="D198" t="str">
        <x:v>Saudi Arabia</x:v>
      </x:c>
      <x:c r="E198" t="str">
        <x:v>Middle East</x:v>
      </x:c>
      <x:c r="F198" t="str">
        <x:v>Technology</x:v>
      </x:c>
      <x:c r="G198" t="str">
        <x:v>Laptop</x:v>
      </x:c>
      <x:c r="H198" t="str">
        <x:v>Corporate</x:v>
      </x:c>
      <x:c r="I198" t="n">
        <x:v>27</x:v>
      </x:c>
      <x:c r="J198" s="10" t="n">
        <x:v>9771.25</x:v>
      </x:c>
      <x:c r="K198" s="10" t="n">
        <x:v>7086.92</x:v>
      </x:c>
      <x:c r="L198" s="10" t="n">
        <x:v>2684.34</x:v>
      </x:c>
      <x:c r="M198" s="12" t="n">
        <x:v>0.27471762312510845</x:v>
      </x:c>
    </x:row>
    <x:row r="199">
      <x:c r="A199" t="str">
        <x:v>ORD-10198</x:v>
      </x:c>
      <x:c r="B199" s="8" t="n">
        <x:v>45457</x:v>
      </x:c>
      <x:c r="C199" t="n">
        <x:v>2024</x:v>
      </x:c>
      <x:c r="D199" t="str">
        <x:v>Saudi Arabia</x:v>
      </x:c>
      <x:c r="E199" t="str">
        <x:v>Middle East</x:v>
      </x:c>
      <x:c r="F199" t="str">
        <x:v>Office Supplies</x:v>
      </x:c>
      <x:c r="G199" t="str">
        <x:v>Printer Paper</x:v>
      </x:c>
      <x:c r="H199" t="str">
        <x:v>Home Office</x:v>
      </x:c>
      <x:c r="I199" t="n">
        <x:v>86</x:v>
      </x:c>
      <x:c r="J199" s="10" t="n">
        <x:v>5048.07</x:v>
      </x:c>
      <x:c r="K199" s="10" t="n">
        <x:v>3985.95</x:v>
      </x:c>
      <x:c r="L199" s="10" t="n">
        <x:v>1062.12</x:v>
      </x:c>
      <x:c r="M199" s="12" t="n">
        <x:v>0.21040159176787543</x:v>
      </x:c>
    </x:row>
    <x:row r="200">
      <x:c r="A200" t="str">
        <x:v>ORD-10199</x:v>
      </x:c>
      <x:c r="B200" s="8" t="n">
        <x:v>45485</x:v>
      </x:c>
      <x:c r="C200" t="n">
        <x:v>2024</x:v>
      </x:c>
      <x:c r="D200" t="str">
        <x:v>Saudi Arabia</x:v>
      </x:c>
      <x:c r="E200" t="str">
        <x:v>Middle East</x:v>
      </x:c>
      <x:c r="F200" t="str">
        <x:v>Furniture</x:v>
      </x:c>
      <x:c r="G200" t="str">
        <x:v>Storage Cabinet</x:v>
      </x:c>
      <x:c r="H200" t="str">
        <x:v>Home Office</x:v>
      </x:c>
      <x:c r="I200" t="n">
        <x:v>21</x:v>
      </x:c>
      <x:c r="J200" s="10" t="n">
        <x:v>5232.58</x:v>
      </x:c>
      <x:c r="K200" s="10" t="n">
        <x:v>3966.04</x:v>
      </x:c>
      <x:c r="L200" s="10" t="n">
        <x:v>1266.54</x:v>
      </x:c>
      <x:c r="M200" s="12" t="n">
        <x:v>0.24204921094696122</x:v>
      </x:c>
    </x:row>
    <x:row r="201">
      <x:c r="A201" t="str">
        <x:v>ORD-10200</x:v>
      </x:c>
      <x:c r="B201" s="8" t="n">
        <x:v>45516</x:v>
      </x:c>
      <x:c r="C201" t="n">
        <x:v>2024</x:v>
      </x:c>
      <x:c r="D201" t="str">
        <x:v>Saudi Arabia</x:v>
      </x:c>
      <x:c r="E201" t="str">
        <x:v>Middle East</x:v>
      </x:c>
      <x:c r="F201" t="str">
        <x:v>Technology</x:v>
      </x:c>
      <x:c r="G201" t="str">
        <x:v>Smartphone</x:v>
      </x:c>
      <x:c r="H201" t="str">
        <x:v>Consumer</x:v>
      </x:c>
      <x:c r="I201" t="n">
        <x:v>99</x:v>
      </x:c>
      <x:c r="J201" s="10" t="n">
        <x:v>31114.56</x:v>
      </x:c>
      <x:c r="K201" s="10" t="n">
        <x:v>20794.7</x:v>
      </x:c>
      <x:c r="L201" s="10" t="n">
        <x:v>10319.86</x:v>
      </x:c>
      <x:c r="M201" s="12" t="n">
        <x:v>0.3316729817761943</x:v>
      </x:c>
    </x:row>
    <x:row r="202">
      <x:c r="A202" t="str">
        <x:v>ORD-10201</x:v>
      </x:c>
      <x:c r="B202" s="8" t="n">
        <x:v>45549</x:v>
      </x:c>
      <x:c r="C202" t="n">
        <x:v>2024</x:v>
      </x:c>
      <x:c r="D202" t="str">
        <x:v>Saudi Arabia</x:v>
      </x:c>
      <x:c r="E202" t="str">
        <x:v>Middle East</x:v>
      </x:c>
      <x:c r="F202" t="str">
        <x:v>Office Supplies</x:v>
      </x:c>
      <x:c r="G202" t="str">
        <x:v>Binders</x:v>
      </x:c>
      <x:c r="H202" t="str">
        <x:v>Consumer</x:v>
      </x:c>
      <x:c r="I202" t="n">
        <x:v>112</x:v>
      </x:c>
      <x:c r="J202" s="10" t="n">
        <x:v>5546.87</x:v>
      </x:c>
      <x:c r="K202" s="10" t="n">
        <x:v>4675.24</x:v>
      </x:c>
      <x:c r="L202" s="10" t="n">
        <x:v>871.63</x:v>
      </x:c>
      <x:c r="M202" s="12" t="n">
        <x:v>0.15713909131934167</x:v>
      </x:c>
    </x:row>
    <x:row r="203">
      <x:c r="A203" t="str">
        <x:v>ORD-10202</x:v>
      </x:c>
      <x:c r="B203" s="8" t="n">
        <x:v>45571</x:v>
      </x:c>
      <x:c r="C203" t="n">
        <x:v>2024</x:v>
      </x:c>
      <x:c r="D203" t="str">
        <x:v>Saudi Arabia</x:v>
      </x:c>
      <x:c r="E203" t="str">
        <x:v>Middle East</x:v>
      </x:c>
      <x:c r="F203" t="str">
        <x:v>Office Supplies</x:v>
      </x:c>
      <x:c r="G203" t="str">
        <x:v>Printer Paper</x:v>
      </x:c>
      <x:c r="H203" t="str">
        <x:v>Home Office</x:v>
      </x:c>
      <x:c r="I203" t="n">
        <x:v>99</x:v>
      </x:c>
      <x:c r="J203" s="10" t="n">
        <x:v>6670.08</x:v>
      </x:c>
      <x:c r="K203" s="10" t="n">
        <x:v>5588.9</x:v>
      </x:c>
      <x:c r="L203" s="10" t="n">
        <x:v>1081.18</x:v>
      </x:c>
      <x:c r="M203" s="12" t="n">
        <x:v>0.16209372701849328</x:v>
      </x:c>
    </x:row>
    <x:row r="204">
      <x:c r="A204" t="str">
        <x:v>ORD-10203</x:v>
      </x:c>
      <x:c r="B204" s="8" t="n">
        <x:v>45615</x:v>
      </x:c>
      <x:c r="C204" t="n">
        <x:v>2024</x:v>
      </x:c>
      <x:c r="D204" t="str">
        <x:v>Saudi Arabia</x:v>
      </x:c>
      <x:c r="E204" t="str">
        <x:v>Middle East</x:v>
      </x:c>
      <x:c r="F204" t="str">
        <x:v>Furniture</x:v>
      </x:c>
      <x:c r="G204" t="str">
        <x:v>Bookshelf</x:v>
      </x:c>
      <x:c r="H204" t="str">
        <x:v>Corporate</x:v>
      </x:c>
      <x:c r="I204" t="n">
        <x:v>59</x:v>
      </x:c>
      <x:c r="J204" s="10" t="n">
        <x:v>8324.06</x:v>
      </x:c>
      <x:c r="K204" s="10" t="n">
        <x:v>6040.08</x:v>
      </x:c>
      <x:c r="L204" s="10" t="n">
        <x:v>2283.99</x:v>
      </x:c>
      <x:c r="M204" s="12" t="n">
        <x:v>0.27438352478437256</x:v>
      </x:c>
    </x:row>
    <x:row r="205">
      <x:c r="A205" t="str">
        <x:v>ORD-10204</x:v>
      </x:c>
      <x:c r="B205" s="8" t="n">
        <x:v>45629</x:v>
      </x:c>
      <x:c r="C205" t="n">
        <x:v>2024</x:v>
      </x:c>
      <x:c r="D205" t="str">
        <x:v>Saudi Arabia</x:v>
      </x:c>
      <x:c r="E205" t="str">
        <x:v>Middle East</x:v>
      </x:c>
      <x:c r="F205" t="str">
        <x:v>Office Supplies</x:v>
      </x:c>
      <x:c r="G205" t="str">
        <x:v>Desk Organizer</x:v>
      </x:c>
      <x:c r="H205" t="str">
        <x:v>Consumer</x:v>
      </x:c>
      <x:c r="I205" t="n">
        <x:v>33</x:v>
      </x:c>
      <x:c r="J205" s="10" t="n">
        <x:v>2128.74</x:v>
      </x:c>
      <x:c r="K205" s="10" t="n">
        <x:v>1603.76</x:v>
      </x:c>
      <x:c r="L205" s="10" t="n">
        <x:v>524.98</x:v>
      </x:c>
      <x:c r="M205" s="12" t="n">
        <x:v>0.24661723825096232</x:v>
      </x:c>
    </x:row>
    <x:row r="206">
      <x:c r="A206" t="str">
        <x:v>ORD-10205</x:v>
      </x:c>
      <x:c r="B206" s="8" t="n">
        <x:v>45301</x:v>
      </x:c>
      <x:c r="C206" t="n">
        <x:v>2024</x:v>
      </x:c>
      <x:c r="D206" t="str">
        <x:v>South Africa</x:v>
      </x:c>
      <x:c r="E206" t="str">
        <x:v>Africa</x:v>
      </x:c>
      <x:c r="F206" t="str">
        <x:v>Office Supplies</x:v>
      </x:c>
      <x:c r="G206" t="str">
        <x:v>Pens</x:v>
      </x:c>
      <x:c r="H206" t="str">
        <x:v>Corporate</x:v>
      </x:c>
      <x:c r="I206" t="n">
        <x:v>68</x:v>
      </x:c>
      <x:c r="J206" s="10" t="n">
        <x:v>3388.55</x:v>
      </x:c>
      <x:c r="K206" s="10" t="n">
        <x:v>3019.58</x:v>
      </x:c>
      <x:c r="L206" s="10" t="n">
        <x:v>368.98</x:v>
      </x:c>
      <x:c r="M206" s="12" t="n">
        <x:v>0.10888911310141071</x:v>
      </x:c>
    </x:row>
    <x:row r="207">
      <x:c r="A207" t="str">
        <x:v>ORD-10206</x:v>
      </x:c>
      <x:c r="B207" s="8" t="n">
        <x:v>45328</x:v>
      </x:c>
      <x:c r="C207" t="n">
        <x:v>2024</x:v>
      </x:c>
      <x:c r="D207" t="str">
        <x:v>South Africa</x:v>
      </x:c>
      <x:c r="E207" t="str">
        <x:v>Africa</x:v>
      </x:c>
      <x:c r="F207" t="str">
        <x:v>Office Supplies</x:v>
      </x:c>
      <x:c r="G207" t="str">
        <x:v>Binders</x:v>
      </x:c>
      <x:c r="H207" t="str">
        <x:v>Home Office</x:v>
      </x:c>
      <x:c r="I207" t="n">
        <x:v>91</x:v>
      </x:c>
      <x:c r="J207" s="10" t="n">
        <x:v>3553.32</x:v>
      </x:c>
      <x:c r="K207" s="10" t="n">
        <x:v>3211.09</x:v>
      </x:c>
      <x:c r="L207" s="10" t="n">
        <x:v>342.23</x:v>
      </x:c>
      <x:c r="M207" s="12" t="n">
        <x:v>0.09631305917106263</x:v>
      </x:c>
    </x:row>
    <x:row r="208">
      <x:c r="A208" t="str">
        <x:v>ORD-10207</x:v>
      </x:c>
      <x:c r="B208" s="8" t="n">
        <x:v>45367</x:v>
      </x:c>
      <x:c r="C208" t="n">
        <x:v>2024</x:v>
      </x:c>
      <x:c r="D208" t="str">
        <x:v>South Africa</x:v>
      </x:c>
      <x:c r="E208" t="str">
        <x:v>Africa</x:v>
      </x:c>
      <x:c r="F208" t="str">
        <x:v>Office Supplies</x:v>
      </x:c>
      <x:c r="G208" t="str">
        <x:v>Printer Paper</x:v>
      </x:c>
      <x:c r="H208" t="str">
        <x:v>Home Office</x:v>
      </x:c>
      <x:c r="I208" t="n">
        <x:v>25</x:v>
      </x:c>
      <x:c r="J208" s="10" t="n">
        <x:v>1113.04</x:v>
      </x:c>
      <x:c r="K208" s="10" t="n">
        <x:v>924.45</x:v>
      </x:c>
      <x:c r="L208" s="10" t="n">
        <x:v>188.58</x:v>
      </x:c>
      <x:c r="M208" s="12" t="n">
        <x:v>0.16943264313699136</x:v>
      </x:c>
    </x:row>
    <x:row r="209">
      <x:c r="A209" t="str">
        <x:v>ORD-10208</x:v>
      </x:c>
      <x:c r="B209" s="8" t="n">
        <x:v>45394</x:v>
      </x:c>
      <x:c r="C209" t="n">
        <x:v>2024</x:v>
      </x:c>
      <x:c r="D209" t="str">
        <x:v>South Africa</x:v>
      </x:c>
      <x:c r="E209" t="str">
        <x:v>Africa</x:v>
      </x:c>
      <x:c r="F209" t="str">
        <x:v>Office Supplies</x:v>
      </x:c>
      <x:c r="G209" t="str">
        <x:v>Desk Organizer</x:v>
      </x:c>
      <x:c r="H209" t="str">
        <x:v>Corporate</x:v>
      </x:c>
      <x:c r="I209" t="n">
        <x:v>49</x:v>
      </x:c>
      <x:c r="J209" s="10" t="n">
        <x:v>2100.53</x:v>
      </x:c>
      <x:c r="K209" s="10" t="n">
        <x:v>1782.34</x:v>
      </x:c>
      <x:c r="L209" s="10" t="n">
        <x:v>318.19</x:v>
      </x:c>
      <x:c r="M209" s="12" t="n">
        <x:v>0.15148155669613253</x:v>
      </x:c>
    </x:row>
    <x:row r="210">
      <x:c r="A210" t="str">
        <x:v>ORD-10209</x:v>
      </x:c>
      <x:c r="B210" s="8" t="n">
        <x:v>45434</x:v>
      </x:c>
      <x:c r="C210" t="n">
        <x:v>2024</x:v>
      </x:c>
      <x:c r="D210" t="str">
        <x:v>South Africa</x:v>
      </x:c>
      <x:c r="E210" t="str">
        <x:v>Africa</x:v>
      </x:c>
      <x:c r="F210" t="str">
        <x:v>Furniture</x:v>
      </x:c>
      <x:c r="G210" t="str">
        <x:v>Office Chair</x:v>
      </x:c>
      <x:c r="H210" t="str">
        <x:v>Corporate</x:v>
      </x:c>
      <x:c r="I210" t="n">
        <x:v>101</x:v>
      </x:c>
      <x:c r="J210" s="10" t="n">
        <x:v>19750.4</x:v>
      </x:c>
      <x:c r="K210" s="10" t="n">
        <x:v>16029.5</x:v>
      </x:c>
      <x:c r="L210" s="10" t="n">
        <x:v>3720.89</x:v>
      </x:c>
      <x:c r="M210" s="12" t="n">
        <x:v>0.1883959304037102</x:v>
      </x:c>
    </x:row>
    <x:row r="211">
      <x:c r="A211" t="str">
        <x:v>ORD-10210</x:v>
      </x:c>
      <x:c r="B211" s="8" t="n">
        <x:v>45450</x:v>
      </x:c>
      <x:c r="C211" t="n">
        <x:v>2024</x:v>
      </x:c>
      <x:c r="D211" t="str">
        <x:v>South Africa</x:v>
      </x:c>
      <x:c r="E211" t="str">
        <x:v>Africa</x:v>
      </x:c>
      <x:c r="F211" t="str">
        <x:v>Furniture</x:v>
      </x:c>
      <x:c r="G211" t="str">
        <x:v>Office Chair</x:v>
      </x:c>
      <x:c r="H211" t="str">
        <x:v>Consumer</x:v>
      </x:c>
      <x:c r="I211" t="n">
        <x:v>65</x:v>
      </x:c>
      <x:c r="J211" s="10" t="n">
        <x:v>14727.23</x:v>
      </x:c>
      <x:c r="K211" s="10" t="n">
        <x:v>12715.88</x:v>
      </x:c>
      <x:c r="L211" s="10" t="n">
        <x:v>2011.35</x:v>
      </x:c>
      <x:c r="M211" s="12" t="n">
        <x:v>0.1365738350221697</x:v>
      </x:c>
    </x:row>
    <x:row r="212">
      <x:c r="A212" t="str">
        <x:v>ORD-10211</x:v>
      </x:c>
      <x:c r="B212" s="8" t="n">
        <x:v>45474</x:v>
      </x:c>
      <x:c r="C212" t="n">
        <x:v>2024</x:v>
      </x:c>
      <x:c r="D212" t="str">
        <x:v>South Africa</x:v>
      </x:c>
      <x:c r="E212" t="str">
        <x:v>Africa</x:v>
      </x:c>
      <x:c r="F212" t="str">
        <x:v>Furniture</x:v>
      </x:c>
      <x:c r="G212" t="str">
        <x:v>Desk</x:v>
      </x:c>
      <x:c r="H212" t="str">
        <x:v>Consumer</x:v>
      </x:c>
      <x:c r="I212" t="n">
        <x:v>112</x:v>
      </x:c>
      <x:c r="J212" s="10" t="n">
        <x:v>17097.88</x:v>
      </x:c>
      <x:c r="K212" s="10" t="n">
        <x:v>14201.94</x:v>
      </x:c>
      <x:c r="L212" s="10" t="n">
        <x:v>2895.95</x:v>
      </x:c>
      <x:c r="M212" s="12" t="n">
        <x:v>0.16937468271254094</x:v>
      </x:c>
    </x:row>
    <x:row r="213">
      <x:c r="A213" t="str">
        <x:v>ORD-10212</x:v>
      </x:c>
      <x:c r="B213" s="8" t="n">
        <x:v>45521</x:v>
      </x:c>
      <x:c r="C213" t="n">
        <x:v>2024</x:v>
      </x:c>
      <x:c r="D213" t="str">
        <x:v>South Africa</x:v>
      </x:c>
      <x:c r="E213" t="str">
        <x:v>Africa</x:v>
      </x:c>
      <x:c r="F213" t="str">
        <x:v>Furniture</x:v>
      </x:c>
      <x:c r="G213" t="str">
        <x:v>Storage Cabinet</x:v>
      </x:c>
      <x:c r="H213" t="str">
        <x:v>Consumer</x:v>
      </x:c>
      <x:c r="I213" t="n">
        <x:v>31</x:v>
      </x:c>
      <x:c r="J213" s="10" t="n">
        <x:v>5124.39</x:v>
      </x:c>
      <x:c r="K213" s="10" t="n">
        <x:v>4025.52</x:v>
      </x:c>
      <x:c r="L213" s="10" t="n">
        <x:v>1098.88</x:v>
      </x:c>
      <x:c r="M213" s="12" t="n">
        <x:v>0.21444055160591965</x:v>
      </x:c>
    </x:row>
    <x:row r="214">
      <x:c r="A214" t="str">
        <x:v>ORD-10213</x:v>
      </x:c>
      <x:c r="B214" s="8" t="n">
        <x:v>45536</x:v>
      </x:c>
      <x:c r="C214" t="n">
        <x:v>2024</x:v>
      </x:c>
      <x:c r="D214" t="str">
        <x:v>South Africa</x:v>
      </x:c>
      <x:c r="E214" t="str">
        <x:v>Africa</x:v>
      </x:c>
      <x:c r="F214" t="str">
        <x:v>Office Supplies</x:v>
      </x:c>
      <x:c r="G214" t="str">
        <x:v>Binders</x:v>
      </x:c>
      <x:c r="H214" t="str">
        <x:v>Consumer</x:v>
      </x:c>
      <x:c r="I214" t="n">
        <x:v>65</x:v>
      </x:c>
      <x:c r="J214" s="10" t="n">
        <x:v>4014.99</x:v>
      </x:c>
      <x:c r="K214" s="10" t="n">
        <x:v>3633.26</x:v>
      </x:c>
      <x:c r="L214" s="10" t="n">
        <x:v>381.73</x:v>
      </x:c>
      <x:c r="M214" s="12" t="n">
        <x:v>0.09507627138753495</x:v>
      </x:c>
    </x:row>
    <x:row r="215">
      <x:c r="A215" t="str">
        <x:v>ORD-10214</x:v>
      </x:c>
      <x:c r="B215" s="8" t="n">
        <x:v>45586</x:v>
      </x:c>
      <x:c r="C215" t="n">
        <x:v>2024</x:v>
      </x:c>
      <x:c r="D215" t="str">
        <x:v>South Africa</x:v>
      </x:c>
      <x:c r="E215" t="str">
        <x:v>Africa</x:v>
      </x:c>
      <x:c r="F215" t="str">
        <x:v>Furniture</x:v>
      </x:c>
      <x:c r="G215" t="str">
        <x:v>Office Chair</x:v>
      </x:c>
      <x:c r="H215" t="str">
        <x:v>Corporate</x:v>
      </x:c>
      <x:c r="I215" t="n">
        <x:v>88</x:v>
      </x:c>
      <x:c r="J215" s="10" t="n">
        <x:v>14984.59</x:v>
      </x:c>
      <x:c r="K215" s="10" t="n">
        <x:v>12309.38</x:v>
      </x:c>
      <x:c r="L215" s="10" t="n">
        <x:v>2675.21</x:v>
      </x:c>
      <x:c r="M215" s="12" t="n">
        <x:v>0.17853074614062814</x:v>
      </x:c>
    </x:row>
    <x:row r="216">
      <x:c r="A216" t="str">
        <x:v>ORD-10215</x:v>
      </x:c>
      <x:c r="B216" s="8" t="n">
        <x:v>45622</x:v>
      </x:c>
      <x:c r="C216" t="n">
        <x:v>2024</x:v>
      </x:c>
      <x:c r="D216" t="str">
        <x:v>South Africa</x:v>
      </x:c>
      <x:c r="E216" t="str">
        <x:v>Africa</x:v>
      </x:c>
      <x:c r="F216" t="str">
        <x:v>Furniture</x:v>
      </x:c>
      <x:c r="G216" t="str">
        <x:v>Bookshelf</x:v>
      </x:c>
      <x:c r="H216" t="str">
        <x:v>Consumer</x:v>
      </x:c>
      <x:c r="I216" t="n">
        <x:v>66</x:v>
      </x:c>
      <x:c r="J216" s="10" t="n">
        <x:v>8505.08</x:v>
      </x:c>
      <x:c r="K216" s="10" t="n">
        <x:v>7067.96</x:v>
      </x:c>
      <x:c r="L216" s="10" t="n">
        <x:v>1437.12</x:v>
      </x:c>
      <x:c r="M216" s="12" t="n">
        <x:v>0.16897218153346177</x:v>
      </x:c>
    </x:row>
    <x:row r="217">
      <x:c r="A217" t="str">
        <x:v>ORD-10216</x:v>
      </x:c>
      <x:c r="B217" s="8" t="n">
        <x:v>45634</x:v>
      </x:c>
      <x:c r="C217" t="n">
        <x:v>2024</x:v>
      </x:c>
      <x:c r="D217" t="str">
        <x:v>South Africa</x:v>
      </x:c>
      <x:c r="E217" t="str">
        <x:v>Africa</x:v>
      </x:c>
      <x:c r="F217" t="str">
        <x:v>Office Supplies</x:v>
      </x:c>
      <x:c r="G217" t="str">
        <x:v>Desk Organizer</x:v>
      </x:c>
      <x:c r="H217" t="str">
        <x:v>Home Office</x:v>
      </x:c>
      <x:c r="I217" t="n">
        <x:v>61</x:v>
      </x:c>
      <x:c r="J217" s="10" t="n">
        <x:v>2387.56</x:v>
      </x:c>
      <x:c r="K217" s="10" t="n">
        <x:v>1930.73</x:v>
      </x:c>
      <x:c r="L217" s="10" t="n">
        <x:v>456.83</x:v>
      </x:c>
      <x:c r="M217" s="12" t="n">
        <x:v>0.19133812317776364</x:v>
      </x:c>
    </x:row>
    <x:row r="218">
      <x:c r="A218" t="str">
        <x:v>ORD-10217</x:v>
      </x:c>
      <x:c r="B218" s="8" t="n">
        <x:v>45302</x:v>
      </x:c>
      <x:c r="C218" t="n">
        <x:v>2024</x:v>
      </x:c>
      <x:c r="D218" t="str">
        <x:v>Nigeria</x:v>
      </x:c>
      <x:c r="E218" t="str">
        <x:v>Africa</x:v>
      </x:c>
      <x:c r="F218" t="str">
        <x:v>Furniture</x:v>
      </x:c>
      <x:c r="G218" t="str">
        <x:v>Storage Cabinet</x:v>
      </x:c>
      <x:c r="H218" t="str">
        <x:v>Home Office</x:v>
      </x:c>
      <x:c r="I218" t="n">
        <x:v>25</x:v>
      </x:c>
      <x:c r="J218" s="10" t="n">
        <x:v>3209.25</x:v>
      </x:c>
      <x:c r="K218" s="10" t="n">
        <x:v>2544.18</x:v>
      </x:c>
      <x:c r="L218" s="10" t="n">
        <x:v>665.06</x:v>
      </x:c>
      <x:c r="M218" s="12" t="n">
        <x:v>0.20723294742030338</x:v>
      </x:c>
    </x:row>
    <x:row r="219">
      <x:c r="A219" t="str">
        <x:v>ORD-10218</x:v>
      </x:c>
      <x:c r="B219" s="8" t="n">
        <x:v>45339</x:v>
      </x:c>
      <x:c r="C219" t="n">
        <x:v>2024</x:v>
      </x:c>
      <x:c r="D219" t="str">
        <x:v>Nigeria</x:v>
      </x:c>
      <x:c r="E219" t="str">
        <x:v>Africa</x:v>
      </x:c>
      <x:c r="F219" t="str">
        <x:v>Technology</x:v>
      </x:c>
      <x:c r="G219" t="str">
        <x:v>Monitor</x:v>
      </x:c>
      <x:c r="H219" t="str">
        <x:v>Consumer</x:v>
      </x:c>
      <x:c r="I219" t="n">
        <x:v>24</x:v>
      </x:c>
      <x:c r="J219" s="10" t="n">
        <x:v>5323.7</x:v>
      </x:c>
      <x:c r="K219" s="10" t="n">
        <x:v>4026.4</x:v>
      </x:c>
      <x:c r="L219" s="10" t="n">
        <x:v>1297.3</x:v>
      </x:c>
      <x:c r="M219" s="12" t="n">
        <x:v>0.24368319678062633</x:v>
      </x:c>
    </x:row>
    <x:row r="220">
      <x:c r="A220" t="str">
        <x:v>ORD-10219</x:v>
      </x:c>
      <x:c r="B220" s="8" t="n">
        <x:v>45356</x:v>
      </x:c>
      <x:c r="C220" t="n">
        <x:v>2024</x:v>
      </x:c>
      <x:c r="D220" t="str">
        <x:v>Nigeria</x:v>
      </x:c>
      <x:c r="E220" t="str">
        <x:v>Africa</x:v>
      </x:c>
      <x:c r="F220" t="str">
        <x:v>Technology</x:v>
      </x:c>
      <x:c r="G220" t="str">
        <x:v>Monitor</x:v>
      </x:c>
      <x:c r="H220" t="str">
        <x:v>Corporate</x:v>
      </x:c>
      <x:c r="I220" t="n">
        <x:v>108</x:v>
      </x:c>
      <x:c r="J220" s="10" t="n">
        <x:v>30049.5</x:v>
      </x:c>
      <x:c r="K220" s="10" t="n">
        <x:v>20810.69</x:v>
      </x:c>
      <x:c r="L220" s="10" t="n">
        <x:v>9238.81</x:v>
      </x:c>
      <x:c r="M220" s="12" t="n">
        <x:v>0.3074531571403476</x:v>
      </x:c>
    </x:row>
    <x:row r="221">
      <x:c r="A221" t="str">
        <x:v>ORD-10220</x:v>
      </x:c>
      <x:c r="B221" s="8" t="n">
        <x:v>45407</x:v>
      </x:c>
      <x:c r="C221" t="n">
        <x:v>2024</x:v>
      </x:c>
      <x:c r="D221" t="str">
        <x:v>Nigeria</x:v>
      </x:c>
      <x:c r="E221" t="str">
        <x:v>Africa</x:v>
      </x:c>
      <x:c r="F221" t="str">
        <x:v>Technology</x:v>
      </x:c>
      <x:c r="G221" t="str">
        <x:v>Laptop</x:v>
      </x:c>
      <x:c r="H221" t="str">
        <x:v>Consumer</x:v>
      </x:c>
      <x:c r="I221" t="n">
        <x:v>47</x:v>
      </x:c>
      <x:c r="J221" s="10" t="n">
        <x:v>8570.74</x:v>
      </x:c>
      <x:c r="K221" s="10" t="n">
        <x:v>5979.91</x:v>
      </x:c>
      <x:c r="L221" s="10" t="n">
        <x:v>2590.83</x:v>
      </x:c>
      <x:c r="M221" s="12" t="n">
        <x:v>0.3022878782327798</x:v>
      </x:c>
    </x:row>
    <x:row r="222">
      <x:c r="A222" t="str">
        <x:v>ORD-10221</x:v>
      </x:c>
      <x:c r="B222" s="8" t="n">
        <x:v>45431</x:v>
      </x:c>
      <x:c r="C222" t="n">
        <x:v>2024</x:v>
      </x:c>
      <x:c r="D222" t="str">
        <x:v>Nigeria</x:v>
      </x:c>
      <x:c r="E222" t="str">
        <x:v>Africa</x:v>
      </x:c>
      <x:c r="F222" t="str">
        <x:v>Office Supplies</x:v>
      </x:c>
      <x:c r="G222" t="str">
        <x:v>Printer Paper</x:v>
      </x:c>
      <x:c r="H222" t="str">
        <x:v>Consumer</x:v>
      </x:c>
      <x:c r="I222" t="n">
        <x:v>113</x:v>
      </x:c>
      <x:c r="J222" s="10" t="n">
        <x:v>4774.68</x:v>
      </x:c>
      <x:c r="K222" s="10" t="n">
        <x:v>3888.15</x:v>
      </x:c>
      <x:c r="L222" s="10" t="n">
        <x:v>886.54</x:v>
      </x:c>
      <x:c r="M222" s="12" t="n">
        <x:v>0.18567436822156239</x:v>
      </x:c>
    </x:row>
    <x:row r="223">
      <x:c r="A223" t="str">
        <x:v>ORD-10222</x:v>
      </x:c>
      <x:c r="B223" s="8" t="n">
        <x:v>45454</x:v>
      </x:c>
      <x:c r="C223" t="n">
        <x:v>2024</x:v>
      </x:c>
      <x:c r="D223" t="str">
        <x:v>Nigeria</x:v>
      </x:c>
      <x:c r="E223" t="str">
        <x:v>Africa</x:v>
      </x:c>
      <x:c r="F223" t="str">
        <x:v>Office Supplies</x:v>
      </x:c>
      <x:c r="G223" t="str">
        <x:v>Desk Organizer</x:v>
      </x:c>
      <x:c r="H223" t="str">
        <x:v>Home Office</x:v>
      </x:c>
      <x:c r="I223" t="n">
        <x:v>87</x:v>
      </x:c>
      <x:c r="J223" s="10" t="n">
        <x:v>3705.53</x:v>
      </x:c>
      <x:c r="K223" s="10" t="n">
        <x:v>2785.14</x:v>
      </x:c>
      <x:c r="L223" s="10" t="n">
        <x:v>920.39</x:v>
      </x:c>
      <x:c r="M223" s="12" t="n">
        <x:v>0.24838383372830314</x:v>
      </x:c>
    </x:row>
    <x:row r="224">
      <x:c r="A224" t="str">
        <x:v>ORD-10223</x:v>
      </x:c>
      <x:c r="B224" s="8" t="n">
        <x:v>45483</x:v>
      </x:c>
      <x:c r="C224" t="n">
        <x:v>2024</x:v>
      </x:c>
      <x:c r="D224" t="str">
        <x:v>Nigeria</x:v>
      </x:c>
      <x:c r="E224" t="str">
        <x:v>Africa</x:v>
      </x:c>
      <x:c r="F224" t="str">
        <x:v>Office Supplies</x:v>
      </x:c>
      <x:c r="G224" t="str">
        <x:v>Binders</x:v>
      </x:c>
      <x:c r="H224" t="str">
        <x:v>Consumer</x:v>
      </x:c>
      <x:c r="I224" t="n">
        <x:v>71</x:v>
      </x:c>
      <x:c r="J224" s="10" t="n">
        <x:v>2105.96</x:v>
      </x:c>
      <x:c r="K224" s="10" t="n">
        <x:v>1720.43</x:v>
      </x:c>
      <x:c r="L224" s="10" t="n">
        <x:v>385.53</x:v>
      </x:c>
      <x:c r="M224" s="12" t="n">
        <x:v>0.18306496766035424</x:v>
      </x:c>
    </x:row>
    <x:row r="225">
      <x:c r="A225" t="str">
        <x:v>ORD-10224</x:v>
      </x:c>
      <x:c r="B225" s="8" t="n">
        <x:v>45506</x:v>
      </x:c>
      <x:c r="C225" t="n">
        <x:v>2024</x:v>
      </x:c>
      <x:c r="D225" t="str">
        <x:v>Nigeria</x:v>
      </x:c>
      <x:c r="E225" t="str">
        <x:v>Africa</x:v>
      </x:c>
      <x:c r="F225" t="str">
        <x:v>Furniture</x:v>
      </x:c>
      <x:c r="G225" t="str">
        <x:v>Office Chair</x:v>
      </x:c>
      <x:c r="H225" t="str">
        <x:v>Corporate</x:v>
      </x:c>
      <x:c r="I225" t="n">
        <x:v>79</x:v>
      </x:c>
      <x:c r="J225" s="10" t="n">
        <x:v>8159.66</x:v>
      </x:c>
      <x:c r="K225" s="10" t="n">
        <x:v>6320.4</x:v>
      </x:c>
      <x:c r="L225" s="10" t="n">
        <x:v>1839.26</x:v>
      </x:c>
      <x:c r="M225" s="12" t="n">
        <x:v>0.22540909837357453</x:v>
      </x:c>
    </x:row>
    <x:row r="226">
      <x:c r="A226" t="str">
        <x:v>ORD-10225</x:v>
      </x:c>
      <x:c r="B226" s="8" t="n">
        <x:v>45538</x:v>
      </x:c>
      <x:c r="C226" t="n">
        <x:v>2024</x:v>
      </x:c>
      <x:c r="D226" t="str">
        <x:v>Nigeria</x:v>
      </x:c>
      <x:c r="E226" t="str">
        <x:v>Africa</x:v>
      </x:c>
      <x:c r="F226" t="str">
        <x:v>Technology</x:v>
      </x:c>
      <x:c r="G226" t="str">
        <x:v>Monitor</x:v>
      </x:c>
      <x:c r="H226" t="str">
        <x:v>Corporate</x:v>
      </x:c>
      <x:c r="I226" t="n">
        <x:v>24</x:v>
      </x:c>
      <x:c r="J226" s="10" t="n">
        <x:v>5729.47</x:v>
      </x:c>
      <x:c r="K226" s="10" t="n">
        <x:v>3739.72</x:v>
      </x:c>
      <x:c r="L226" s="10" t="n">
        <x:v>1989.76</x:v>
      </x:c>
      <x:c r="M226" s="12" t="n">
        <x:v>0.34728422390397795</x:v>
      </x:c>
    </x:row>
    <x:row r="227">
      <x:c r="A227" t="str">
        <x:v>ORD-10226</x:v>
      </x:c>
      <x:c r="B227" s="8" t="n">
        <x:v>45567</x:v>
      </x:c>
      <x:c r="C227" t="n">
        <x:v>2024</x:v>
      </x:c>
      <x:c r="D227" t="str">
        <x:v>Nigeria</x:v>
      </x:c>
      <x:c r="E227" t="str">
        <x:v>Africa</x:v>
      </x:c>
      <x:c r="F227" t="str">
        <x:v>Office Supplies</x:v>
      </x:c>
      <x:c r="G227" t="str">
        <x:v>Desk Organizer</x:v>
      </x:c>
      <x:c r="H227" t="str">
        <x:v>Corporate</x:v>
      </x:c>
      <x:c r="I227" t="n">
        <x:v>89</x:v>
      </x:c>
      <x:c r="J227" s="10" t="n">
        <x:v>3613.14</x:v>
      </x:c>
      <x:c r="K227" s="10" t="n">
        <x:v>2800.12</x:v>
      </x:c>
      <x:c r="L227" s="10" t="n">
        <x:v>813.02</x:v>
      </x:c>
      <x:c r="M227" s="12" t="n">
        <x:v>0.22501813567184303</x:v>
      </x:c>
    </x:row>
    <x:row r="228">
      <x:c r="A228" t="str">
        <x:v>ORD-10227</x:v>
      </x:c>
      <x:c r="B228" s="8" t="n">
        <x:v>45598</x:v>
      </x:c>
      <x:c r="C228" t="n">
        <x:v>2024</x:v>
      </x:c>
      <x:c r="D228" t="str">
        <x:v>Nigeria</x:v>
      </x:c>
      <x:c r="E228" t="str">
        <x:v>Africa</x:v>
      </x:c>
      <x:c r="F228" t="str">
        <x:v>Furniture</x:v>
      </x:c>
      <x:c r="G228" t="str">
        <x:v>Desk</x:v>
      </x:c>
      <x:c r="H228" t="str">
        <x:v>Corporate</x:v>
      </x:c>
      <x:c r="I228" t="n">
        <x:v>92</x:v>
      </x:c>
      <x:c r="J228" s="10" t="n">
        <x:v>12383.11</x:v>
      </x:c>
      <x:c r="K228" s="10" t="n">
        <x:v>10053.81</x:v>
      </x:c>
      <x:c r="L228" s="10" t="n">
        <x:v>2329.3</x:v>
      </x:c>
      <x:c r="M228" s="12" t="n">
        <x:v>0.18810332920347655</x:v>
      </x:c>
    </x:row>
    <x:row r="229">
      <x:c r="A229" t="str">
        <x:v>ORD-10228</x:v>
      </x:c>
      <x:c r="B229" s="8" t="n">
        <x:v>45628</x:v>
      </x:c>
      <x:c r="C229" t="n">
        <x:v>2024</x:v>
      </x:c>
      <x:c r="D229" t="str">
        <x:v>Nigeria</x:v>
      </x:c>
      <x:c r="E229" t="str">
        <x:v>Africa</x:v>
      </x:c>
      <x:c r="F229" t="str">
        <x:v>Furniture</x:v>
      </x:c>
      <x:c r="G229" t="str">
        <x:v>Office Chair</x:v>
      </x:c>
      <x:c r="H229" t="str">
        <x:v>Corporate</x:v>
      </x:c>
      <x:c r="I229" t="n">
        <x:v>106</x:v>
      </x:c>
      <x:c r="J229" s="10" t="n">
        <x:v>11032.23</x:v>
      </x:c>
      <x:c r="K229" s="10" t="n">
        <x:v>8301.37</x:v>
      </x:c>
      <x:c r="L229" s="10" t="n">
        <x:v>2730.87</x:v>
      </x:c>
      <x:c r="M229" s="12" t="n">
        <x:v>0.24753525093724635</x:v>
      </x:c>
    </x:row>
    <x:row r="230">
      <x:c r="A230" t="str">
        <x:v>ORD-10229</x:v>
      </x:c>
      <x:c r="B230" s="8" t="n">
        <x:v>45303</x:v>
      </x:c>
      <x:c r="C230" t="n">
        <x:v>2024</x:v>
      </x:c>
      <x:c r="D230" t="str">
        <x:v>Kenya</x:v>
      </x:c>
      <x:c r="E230" t="str">
        <x:v>Africa</x:v>
      </x:c>
      <x:c r="F230" t="str">
        <x:v>Technology</x:v>
      </x:c>
      <x:c r="G230" t="str">
        <x:v>Headphones</x:v>
      </x:c>
      <x:c r="H230" t="str">
        <x:v>Corporate</x:v>
      </x:c>
      <x:c r="I230" t="n">
        <x:v>82</x:v>
      </x:c>
      <x:c r="J230" s="10" t="n">
        <x:v>15385.47</x:v>
      </x:c>
      <x:c r="K230" s="10" t="n">
        <x:v>11553.72</x:v>
      </x:c>
      <x:c r="L230" s="10" t="n">
        <x:v>3831.74</x:v>
      </x:c>
      <x:c r="M230" s="12" t="n">
        <x:v>0.24904954495778492</x:v>
      </x:c>
    </x:row>
    <x:row r="231">
      <x:c r="A231" t="str">
        <x:v>ORD-10230</x:v>
      </x:c>
      <x:c r="B231" s="8" t="n">
        <x:v>45348</x:v>
      </x:c>
      <x:c r="C231" t="n">
        <x:v>2024</x:v>
      </x:c>
      <x:c r="D231" t="str">
        <x:v>Kenya</x:v>
      </x:c>
      <x:c r="E231" t="str">
        <x:v>Africa</x:v>
      </x:c>
      <x:c r="F231" t="str">
        <x:v>Furniture</x:v>
      </x:c>
      <x:c r="G231" t="str">
        <x:v>Storage Cabinet</x:v>
      </x:c>
      <x:c r="H231" t="str">
        <x:v>Corporate</x:v>
      </x:c>
      <x:c r="I231" t="n">
        <x:v>114</x:v>
      </x:c>
      <x:c r="J231" s="10" t="n">
        <x:v>11863.96</x:v>
      </x:c>
      <x:c r="K231" s="10" t="n">
        <x:v>8995.89</x:v>
      </x:c>
      <x:c r="L231" s="10" t="n">
        <x:v>2868.07</x:v>
      </x:c>
      <x:c r="M231" s="12" t="n">
        <x:v>0.24174630348595877</x:v>
      </x:c>
    </x:row>
    <x:row r="232">
      <x:c r="A232" t="str">
        <x:v>ORD-10231</x:v>
      </x:c>
      <x:c r="B232" s="8" t="n">
        <x:v>45361</x:v>
      </x:c>
      <x:c r="C232" t="n">
        <x:v>2024</x:v>
      </x:c>
      <x:c r="D232" t="str">
        <x:v>Kenya</x:v>
      </x:c>
      <x:c r="E232" t="str">
        <x:v>Africa</x:v>
      </x:c>
      <x:c r="F232" t="str">
        <x:v>Office Supplies</x:v>
      </x:c>
      <x:c r="G232" t="str">
        <x:v>Binders</x:v>
      </x:c>
      <x:c r="H232" t="str">
        <x:v>Consumer</x:v>
      </x:c>
      <x:c r="I232" t="n">
        <x:v>57</x:v>
      </x:c>
      <x:c r="J232" s="10" t="n">
        <x:v>1448.44</x:v>
      </x:c>
      <x:c r="K232" s="10" t="n">
        <x:v>1142.23</x:v>
      </x:c>
      <x:c r="L232" s="10" t="n">
        <x:v>306.21</x:v>
      </x:c>
      <x:c r="M232" s="12" t="n">
        <x:v>0.21140552138080976</x:v>
      </x:c>
    </x:row>
    <x:row r="233">
      <x:c r="A233" t="str">
        <x:v>ORD-10232</x:v>
      </x:c>
      <x:c r="B233" s="8" t="n">
        <x:v>45394</x:v>
      </x:c>
      <x:c r="C233" t="n">
        <x:v>2024</x:v>
      </x:c>
      <x:c r="D233" t="str">
        <x:v>Kenya</x:v>
      </x:c>
      <x:c r="E233" t="str">
        <x:v>Africa</x:v>
      </x:c>
      <x:c r="F233" t="str">
        <x:v>Furniture</x:v>
      </x:c>
      <x:c r="G233" t="str">
        <x:v>Desk</x:v>
      </x:c>
      <x:c r="H233" t="str">
        <x:v>Corporate</x:v>
      </x:c>
      <x:c r="I233" t="n">
        <x:v>25</x:v>
      </x:c>
      <x:c r="J233" s="10" t="n">
        <x:v>3002.03</x:v>
      </x:c>
      <x:c r="K233" s="10" t="n">
        <x:v>2440.73</x:v>
      </x:c>
      <x:c r="L233" s="10" t="n">
        <x:v>561.29</x:v>
      </x:c>
      <x:c r="M233" s="12" t="n">
        <x:v>0.1869714056701182</x:v>
      </x:c>
    </x:row>
    <x:row r="234">
      <x:c r="A234" t="str">
        <x:v>ORD-10233</x:v>
      </x:c>
      <x:c r="B234" s="8" t="n">
        <x:v>45430</x:v>
      </x:c>
      <x:c r="C234" t="n">
        <x:v>2024</x:v>
      </x:c>
      <x:c r="D234" t="str">
        <x:v>Kenya</x:v>
      </x:c>
      <x:c r="E234" t="str">
        <x:v>Africa</x:v>
      </x:c>
      <x:c r="F234" t="str">
        <x:v>Furniture</x:v>
      </x:c>
      <x:c r="G234" t="str">
        <x:v>Storage Cabinet</x:v>
      </x:c>
      <x:c r="H234" t="str">
        <x:v>Consumer</x:v>
      </x:c>
      <x:c r="I234" t="n">
        <x:v>91</x:v>
      </x:c>
      <x:c r="J234" s="10" t="n">
        <x:v>11679.2</x:v>
      </x:c>
      <x:c r="K234" s="10" t="n">
        <x:v>9575</x:v>
      </x:c>
      <x:c r="L234" s="10" t="n">
        <x:v>2104.2</x:v>
      </x:c>
      <x:c r="M234" s="12" t="n">
        <x:v>0.18016628144048025</x:v>
      </x:c>
    </x:row>
    <x:row r="235">
      <x:c r="A235" t="str">
        <x:v>ORD-10234</x:v>
      </x:c>
      <x:c r="B235" s="8" t="n">
        <x:v>45465</x:v>
      </x:c>
      <x:c r="C235" t="n">
        <x:v>2024</x:v>
      </x:c>
      <x:c r="D235" t="str">
        <x:v>Kenya</x:v>
      </x:c>
      <x:c r="E235" t="str">
        <x:v>Africa</x:v>
      </x:c>
      <x:c r="F235" t="str">
        <x:v>Furniture</x:v>
      </x:c>
      <x:c r="G235" t="str">
        <x:v>Bookshelf</x:v>
      </x:c>
      <x:c r="H235" t="str">
        <x:v>Consumer</x:v>
      </x:c>
      <x:c r="I235" t="n">
        <x:v>100</x:v>
      </x:c>
      <x:c r="J235" s="10" t="n">
        <x:v>12794.95</x:v>
      </x:c>
      <x:c r="K235" s="10" t="n">
        <x:v>9165.62</x:v>
      </x:c>
      <x:c r="L235" s="10" t="n">
        <x:v>3629.33</x:v>
      </x:c>
      <x:c r="M235" s="12" t="n">
        <x:v>0.2836530349303256</x:v>
      </x:c>
    </x:row>
    <x:row r="236">
      <x:c r="A236" t="str">
        <x:v>ORD-10235</x:v>
      </x:c>
      <x:c r="B236" s="8" t="n">
        <x:v>45485</x:v>
      </x:c>
      <x:c r="C236" t="n">
        <x:v>2024</x:v>
      </x:c>
      <x:c r="D236" t="str">
        <x:v>Kenya</x:v>
      </x:c>
      <x:c r="E236" t="str">
        <x:v>Africa</x:v>
      </x:c>
      <x:c r="F236" t="str">
        <x:v>Office Supplies</x:v>
      </x:c>
      <x:c r="G236" t="str">
        <x:v>Printer Paper</x:v>
      </x:c>
      <x:c r="H236" t="str">
        <x:v>Home Office</x:v>
      </x:c>
      <x:c r="I236" t="n">
        <x:v>100</x:v>
      </x:c>
      <x:c r="J236" s="10" t="n">
        <x:v>3162.74</x:v>
      </x:c>
      <x:c r="K236" s="10" t="n">
        <x:v>2614.26</x:v>
      </x:c>
      <x:c r="L236" s="10" t="n">
        <x:v>548.48</x:v>
      </x:c>
      <x:c r="M236" s="12" t="n">
        <x:v>0.17341937156161413</x:v>
      </x:c>
    </x:row>
    <x:row r="237">
      <x:c r="A237" t="str">
        <x:v>ORD-10236</x:v>
      </x:c>
      <x:c r="B237" s="8" t="n">
        <x:v>45512</x:v>
      </x:c>
      <x:c r="C237" t="n">
        <x:v>2024</x:v>
      </x:c>
      <x:c r="D237" t="str">
        <x:v>Kenya</x:v>
      </x:c>
      <x:c r="E237" t="str">
        <x:v>Africa</x:v>
      </x:c>
      <x:c r="F237" t="str">
        <x:v>Furniture</x:v>
      </x:c>
      <x:c r="G237" t="str">
        <x:v>Desk</x:v>
      </x:c>
      <x:c r="H237" t="str">
        <x:v>Consumer</x:v>
      </x:c>
      <x:c r="I237" t="n">
        <x:v>58</x:v>
      </x:c>
      <x:c r="J237" s="10" t="n">
        <x:v>8351.49</x:v>
      </x:c>
      <x:c r="K237" s="10" t="n">
        <x:v>6444.41</x:v>
      </x:c>
      <x:c r="L237" s="10" t="n">
        <x:v>1907.08</x:v>
      </x:c>
      <x:c r="M237" s="12" t="n">
        <x:v>0.22835251050472724</x:v>
      </x:c>
    </x:row>
    <x:row r="238">
      <x:c r="A238" t="str">
        <x:v>ORD-10237</x:v>
      </x:c>
      <x:c r="B238" s="8" t="n">
        <x:v>45560</x:v>
      </x:c>
      <x:c r="C238" t="n">
        <x:v>2024</x:v>
      </x:c>
      <x:c r="D238" t="str">
        <x:v>Kenya</x:v>
      </x:c>
      <x:c r="E238" t="str">
        <x:v>Africa</x:v>
      </x:c>
      <x:c r="F238" t="str">
        <x:v>Technology</x:v>
      </x:c>
      <x:c r="G238" t="str">
        <x:v>Smartphone</x:v>
      </x:c>
      <x:c r="H238" t="str">
        <x:v>Consumer</x:v>
      </x:c>
      <x:c r="I238" t="n">
        <x:v>52</x:v>
      </x:c>
      <x:c r="J238" s="10" t="n">
        <x:v>11527.06</x:v>
      </x:c>
      <x:c r="K238" s="10" t="n">
        <x:v>8735.94</x:v>
      </x:c>
      <x:c r="L238" s="10" t="n">
        <x:v>2791.13</x:v>
      </x:c>
      <x:c r="M238" s="12" t="n">
        <x:v>0.24213689164014734</x:v>
      </x:c>
    </x:row>
    <x:row r="239">
      <x:c r="A239" t="str">
        <x:v>ORD-10238</x:v>
      </x:c>
      <x:c r="B239" s="8" t="n">
        <x:v>45585</x:v>
      </x:c>
      <x:c r="C239" t="n">
        <x:v>2024</x:v>
      </x:c>
      <x:c r="D239" t="str">
        <x:v>Kenya</x:v>
      </x:c>
      <x:c r="E239" t="str">
        <x:v>Africa</x:v>
      </x:c>
      <x:c r="F239" t="str">
        <x:v>Office Supplies</x:v>
      </x:c>
      <x:c r="G239" t="str">
        <x:v>Printer Paper</x:v>
      </x:c>
      <x:c r="H239" t="str">
        <x:v>Home Office</x:v>
      </x:c>
      <x:c r="I239" t="n">
        <x:v>58</x:v>
      </x:c>
      <x:c r="J239" s="10" t="n">
        <x:v>2330.95</x:v>
      </x:c>
      <x:c r="K239" s="10" t="n">
        <x:v>1855.06</x:v>
      </x:c>
      <x:c r="L239" s="10" t="n">
        <x:v>475.9</x:v>
      </x:c>
      <x:c r="M239" s="12" t="n">
        <x:v>0.2041637758592209</x:v>
      </x:c>
    </x:row>
    <x:row r="240">
      <x:c r="A240" t="str">
        <x:v>ORD-10239</x:v>
      </x:c>
      <x:c r="B240" s="8" t="n">
        <x:v>45622</x:v>
      </x:c>
      <x:c r="C240" t="n">
        <x:v>2024</x:v>
      </x:c>
      <x:c r="D240" t="str">
        <x:v>Kenya</x:v>
      </x:c>
      <x:c r="E240" t="str">
        <x:v>Africa</x:v>
      </x:c>
      <x:c r="F240" t="str">
        <x:v>Furniture</x:v>
      </x:c>
      <x:c r="G240" t="str">
        <x:v>Desk</x:v>
      </x:c>
      <x:c r="H240" t="str">
        <x:v>Consumer</x:v>
      </x:c>
      <x:c r="I240" t="n">
        <x:v>38</x:v>
      </x:c>
      <x:c r="J240" s="10" t="n">
        <x:v>5182.05</x:v>
      </x:c>
      <x:c r="K240" s="10" t="n">
        <x:v>3821.6</x:v>
      </x:c>
      <x:c r="L240" s="10" t="n">
        <x:v>1360.45</x:v>
      </x:c>
      <x:c r="M240" s="12" t="n">
        <x:v>0.2625317376477186</x:v>
      </x:c>
    </x:row>
    <x:row r="241">
      <x:c r="A241" t="str">
        <x:v>ORD-10240</x:v>
      </x:c>
      <x:c r="B241" s="8" t="n">
        <x:v>45641</x:v>
      </x:c>
      <x:c r="C241" t="n">
        <x:v>2024</x:v>
      </x:c>
      <x:c r="D241" t="str">
        <x:v>Kenya</x:v>
      </x:c>
      <x:c r="E241" t="str">
        <x:v>Africa</x:v>
      </x:c>
      <x:c r="F241" t="str">
        <x:v>Technology</x:v>
      </x:c>
      <x:c r="G241" t="str">
        <x:v>Headphones</x:v>
      </x:c>
      <x:c r="H241" t="str">
        <x:v>Consumer</x:v>
      </x:c>
      <x:c r="I241" t="n">
        <x:v>67</x:v>
      </x:c>
      <x:c r="J241" s="10" t="n">
        <x:v>11447.45</x:v>
      </x:c>
      <x:c r="K241" s="10" t="n">
        <x:v>7826.05</x:v>
      </x:c>
      <x:c r="L241" s="10" t="n">
        <x:v>3621.4</x:v>
      </x:c>
      <x:c r="M241" s="12" t="n">
        <x:v>0.31635028085487793</x:v>
      </x:c>
    </x:row>
    <x:row r="242">
      <x:c r="A242" t="str">
        <x:v>ORD-10241</x:v>
      </x:c>
      <x:c r="B242" s="8" t="n">
        <x:v>45667</x:v>
      </x:c>
      <x:c r="C242" t="n">
        <x:v>2025</x:v>
      </x:c>
      <x:c r="D242" t="str">
        <x:v>United States</x:v>
      </x:c>
      <x:c r="E242" t="str">
        <x:v>North America</x:v>
      </x:c>
      <x:c r="F242" t="str">
        <x:v>Office Supplies</x:v>
      </x:c>
      <x:c r="G242" t="str">
        <x:v>Binders</x:v>
      </x:c>
      <x:c r="H242" t="str">
        <x:v>Home Office</x:v>
      </x:c>
      <x:c r="I242" t="n">
        <x:v>115</x:v>
      </x:c>
      <x:c r="J242" s="10" t="n">
        <x:v>16933.3</x:v>
      </x:c>
      <x:c r="K242" s="10" t="n">
        <x:v>13646.86</x:v>
      </x:c>
      <x:c r="L242" s="10" t="n">
        <x:v>3286.44</x:v>
      </x:c>
      <x:c r="M242" s="12" t="n">
        <x:v>0.19408133796379137</x:v>
      </x:c>
    </x:row>
    <x:row r="243">
      <x:c r="A243" t="str">
        <x:v>ORD-10242</x:v>
      </x:c>
      <x:c r="B243" s="8" t="n">
        <x:v>45703</x:v>
      </x:c>
      <x:c r="C243" t="n">
        <x:v>2025</x:v>
      </x:c>
      <x:c r="D243" t="str">
        <x:v>United States</x:v>
      </x:c>
      <x:c r="E243" t="str">
        <x:v>North America</x:v>
      </x:c>
      <x:c r="F243" t="str">
        <x:v>Furniture</x:v>
      </x:c>
      <x:c r="G243" t="str">
        <x:v>Desk</x:v>
      </x:c>
      <x:c r="H243" t="str">
        <x:v>Corporate</x:v>
      </x:c>
      <x:c r="I243" t="n">
        <x:v>101</x:v>
      </x:c>
      <x:c r="J243" s="10" t="n">
        <x:v>66674.24</x:v>
      </x:c>
      <x:c r="K243" s="10" t="n">
        <x:v>47463.2</x:v>
      </x:c>
      <x:c r="L243" s="10" t="n">
        <x:v>19211.03</x:v>
      </x:c>
      <x:c r="M243" s="12" t="n">
        <x:v>0.2881327752237892</x:v>
      </x:c>
    </x:row>
    <x:row r="244">
      <x:c r="A244" t="str">
        <x:v>ORD-10243</x:v>
      </x:c>
      <x:c r="B244" s="8" t="n">
        <x:v>45723</x:v>
      </x:c>
      <x:c r="C244" t="n">
        <x:v>2025</x:v>
      </x:c>
      <x:c r="D244" t="str">
        <x:v>United States</x:v>
      </x:c>
      <x:c r="E244" t="str">
        <x:v>North America</x:v>
      </x:c>
      <x:c r="F244" t="str">
        <x:v>Furniture</x:v>
      </x:c>
      <x:c r="G244" t="str">
        <x:v>Storage Cabinet</x:v>
      </x:c>
      <x:c r="H244" t="str">
        <x:v>Home Office</x:v>
      </x:c>
      <x:c r="I244" t="n">
        <x:v>82</x:v>
      </x:c>
      <x:c r="J244" s="10" t="n">
        <x:v>41111.45</x:v>
      </x:c>
      <x:c r="K244" s="10" t="n">
        <x:v>33323.01</x:v>
      </x:c>
      <x:c r="L244" s="10" t="n">
        <x:v>7788.44</x:v>
      </x:c>
      <x:c r="M244" s="12" t="n">
        <x:v>0.18944698078950456</x:v>
      </x:c>
    </x:row>
    <x:row r="245">
      <x:c r="A245" t="str">
        <x:v>ORD-10244</x:v>
      </x:c>
      <x:c r="B245" s="8" t="n">
        <x:v>45765</x:v>
      </x:c>
      <x:c r="C245" t="n">
        <x:v>2025</x:v>
      </x:c>
      <x:c r="D245" t="str">
        <x:v>United States</x:v>
      </x:c>
      <x:c r="E245" t="str">
        <x:v>North America</x:v>
      </x:c>
      <x:c r="F245" t="str">
        <x:v>Office Supplies</x:v>
      </x:c>
      <x:c r="G245" t="str">
        <x:v>Pens</x:v>
      </x:c>
      <x:c r="H245" t="str">
        <x:v>Corporate</x:v>
      </x:c>
      <x:c r="I245" t="n">
        <x:v>21</x:v>
      </x:c>
      <x:c r="J245" s="10" t="n">
        <x:v>3442.08</x:v>
      </x:c>
      <x:c r="K245" s="10" t="n">
        <x:v>2633.55</x:v>
      </x:c>
      <x:c r="L245" s="10" t="n">
        <x:v>808.52</x:v>
      </x:c>
      <x:c r="M245" s="12" t="n">
        <x:v>0.23489403340626844</x:v>
      </x:c>
    </x:row>
    <x:row r="246">
      <x:c r="A246" t="str">
        <x:v>ORD-10245</x:v>
      </x:c>
      <x:c r="B246" s="8" t="n">
        <x:v>45794</x:v>
      </x:c>
      <x:c r="C246" t="n">
        <x:v>2025</x:v>
      </x:c>
      <x:c r="D246" t="str">
        <x:v>United States</x:v>
      </x:c>
      <x:c r="E246" t="str">
        <x:v>North America</x:v>
      </x:c>
      <x:c r="F246" t="str">
        <x:v>Technology</x:v>
      </x:c>
      <x:c r="G246" t="str">
        <x:v>Laptop</x:v>
      </x:c>
      <x:c r="H246" t="str">
        <x:v>Corporate</x:v>
      </x:c>
      <x:c r="I246" t="n">
        <x:v>25</x:v>
      </x:c>
      <x:c r="J246" s="10" t="n">
        <x:v>24426.76</x:v>
      </x:c>
      <x:c r="K246" s="10" t="n">
        <x:v>18008.99</x:v>
      </x:c>
      <x:c r="L246" s="10" t="n">
        <x:v>6417.76</x:v>
      </x:c>
      <x:c r="M246" s="12" t="n">
        <x:v>0.26273495595096275</x:v>
      </x:c>
    </x:row>
    <x:row r="247">
      <x:c r="A247" t="str">
        <x:v>ORD-10246</x:v>
      </x:c>
      <x:c r="B247" s="8" t="n">
        <x:v>45809</x:v>
      </x:c>
      <x:c r="C247" t="n">
        <x:v>2025</x:v>
      </x:c>
      <x:c r="D247" t="str">
        <x:v>United States</x:v>
      </x:c>
      <x:c r="E247" t="str">
        <x:v>North America</x:v>
      </x:c>
      <x:c r="F247" t="str">
        <x:v>Technology</x:v>
      </x:c>
      <x:c r="G247" t="str">
        <x:v>Headphones</x:v>
      </x:c>
      <x:c r="H247" t="str">
        <x:v>Consumer</x:v>
      </x:c>
      <x:c r="I247" t="n">
        <x:v>43</x:v>
      </x:c>
      <x:c r="J247" s="10" t="n">
        <x:v>43132.38</x:v>
      </x:c>
      <x:c r="K247" s="10" t="n">
        <x:v>28633.19</x:v>
      </x:c>
      <x:c r="L247" s="10" t="n">
        <x:v>14499.19</x:v>
      </x:c>
      <x:c r="M247" s="12" t="n">
        <x:v>0.33615557284616093</x:v>
      </x:c>
    </x:row>
    <x:row r="248">
      <x:c r="A248" t="str">
        <x:v>ORD-10247</x:v>
      </x:c>
      <x:c r="B248" s="8" t="n">
        <x:v>45841</x:v>
      </x:c>
      <x:c r="C248" t="n">
        <x:v>2025</x:v>
      </x:c>
      <x:c r="D248" t="str">
        <x:v>United States</x:v>
      </x:c>
      <x:c r="E248" t="str">
        <x:v>North America</x:v>
      </x:c>
      <x:c r="F248" t="str">
        <x:v>Furniture</x:v>
      </x:c>
      <x:c r="G248" t="str">
        <x:v>Office Chair</x:v>
      </x:c>
      <x:c r="H248" t="str">
        <x:v>Corporate</x:v>
      </x:c>
      <x:c r="I248" t="n">
        <x:v>79</x:v>
      </x:c>
      <x:c r="J248" s="10" t="n">
        <x:v>38546.39</x:v>
      </x:c>
      <x:c r="K248" s="10" t="n">
        <x:v>30207.27</x:v>
      </x:c>
      <x:c r="L248" s="10" t="n">
        <x:v>8339.12</x:v>
      </x:c>
      <x:c r="M248" s="12" t="n">
        <x:v>0.21633993416535133</x:v>
      </x:c>
    </x:row>
    <x:row r="249">
      <x:c r="A249" t="str">
        <x:v>ORD-10248</x:v>
      </x:c>
      <x:c r="B249" s="8" t="n">
        <x:v>45890</x:v>
      </x:c>
      <x:c r="C249" t="n">
        <x:v>2025</x:v>
      </x:c>
      <x:c r="D249" t="str">
        <x:v>United States</x:v>
      </x:c>
      <x:c r="E249" t="str">
        <x:v>North America</x:v>
      </x:c>
      <x:c r="F249" t="str">
        <x:v>Furniture</x:v>
      </x:c>
      <x:c r="G249" t="str">
        <x:v>Desk</x:v>
      </x:c>
      <x:c r="H249" t="str">
        <x:v>Consumer</x:v>
      </x:c>
      <x:c r="I249" t="n">
        <x:v>55</x:v>
      </x:c>
      <x:c r="J249" s="10" t="n">
        <x:v>36038.32</x:v>
      </x:c>
      <x:c r="K249" s="10" t="n">
        <x:v>26282.71</x:v>
      </x:c>
      <x:c r="L249" s="10" t="n">
        <x:v>9755.62</x:v>
      </x:c>
      <x:c r="M249" s="12" t="n">
        <x:v>0.2707011545133927</x:v>
      </x:c>
    </x:row>
    <x:row r="250">
      <x:c r="A250" t="str">
        <x:v>ORD-10249</x:v>
      </x:c>
      <x:c r="B250" s="8" t="n">
        <x:v>45923</x:v>
      </x:c>
      <x:c r="C250" t="n">
        <x:v>2025</x:v>
      </x:c>
      <x:c r="D250" t="str">
        <x:v>United States</x:v>
      </x:c>
      <x:c r="E250" t="str">
        <x:v>North America</x:v>
      </x:c>
      <x:c r="F250" t="str">
        <x:v>Furniture</x:v>
      </x:c>
      <x:c r="G250" t="str">
        <x:v>Desk</x:v>
      </x:c>
      <x:c r="H250" t="str">
        <x:v>Consumer</x:v>
      </x:c>
      <x:c r="I250" t="n">
        <x:v>19</x:v>
      </x:c>
      <x:c r="J250" s="10" t="n">
        <x:v>8773.53</x:v>
      </x:c>
      <x:c r="K250" s="10" t="n">
        <x:v>6408.44</x:v>
      </x:c>
      <x:c r="L250" s="10" t="n">
        <x:v>2365.09</x:v>
      </x:c>
      <x:c r="M250" s="12" t="n">
        <x:v>0.2695713899783387</x:v>
      </x:c>
    </x:row>
    <x:row r="251">
      <x:c r="A251" t="str">
        <x:v>ORD-10250</x:v>
      </x:c>
      <x:c r="B251" s="8" t="n">
        <x:v>45939</x:v>
      </x:c>
      <x:c r="C251" t="n">
        <x:v>2025</x:v>
      </x:c>
      <x:c r="D251" t="str">
        <x:v>United States</x:v>
      </x:c>
      <x:c r="E251" t="str">
        <x:v>North America</x:v>
      </x:c>
      <x:c r="F251" t="str">
        <x:v>Technology</x:v>
      </x:c>
      <x:c r="G251" t="str">
        <x:v>Headphones</x:v>
      </x:c>
      <x:c r="H251" t="str">
        <x:v>Corporate</x:v>
      </x:c>
      <x:c r="I251" t="n">
        <x:v>93</x:v>
      </x:c>
      <x:c r="J251" s="10" t="n">
        <x:v>56659.2</x:v>
      </x:c>
      <x:c r="K251" s="10" t="n">
        <x:v>43088.92</x:v>
      </x:c>
      <x:c r="L251" s="10" t="n">
        <x:v>13570.28</x:v>
      </x:c>
      <x:c r="M251" s="12" t="n">
        <x:v>0.23950709255248645</x:v>
      </x:c>
    </x:row>
    <x:row r="252">
      <x:c r="A252" t="str">
        <x:v>ORD-10251</x:v>
      </x:c>
      <x:c r="B252" s="8" t="n">
        <x:v>45986</x:v>
      </x:c>
      <x:c r="C252" t="n">
        <x:v>2025</x:v>
      </x:c>
      <x:c r="D252" t="str">
        <x:v>United States</x:v>
      </x:c>
      <x:c r="E252" t="str">
        <x:v>North America</x:v>
      </x:c>
      <x:c r="F252" t="str">
        <x:v>Technology</x:v>
      </x:c>
      <x:c r="G252" t="str">
        <x:v>Smartphone</x:v>
      </x:c>
      <x:c r="H252" t="str">
        <x:v>Home Office</x:v>
      </x:c>
      <x:c r="I252" t="n">
        <x:v>108</x:v>
      </x:c>
      <x:c r="J252" s="10" t="n">
        <x:v>97438.81</x:v>
      </x:c>
      <x:c r="K252" s="10" t="n">
        <x:v>70078.91</x:v>
      </x:c>
      <x:c r="L252" s="10" t="n">
        <x:v>27359.9</x:v>
      </x:c>
      <x:c r="M252" s="12" t="n">
        <x:v>0.2807905710737588</x:v>
      </x:c>
    </x:row>
    <x:row r="253">
      <x:c r="A253" t="str">
        <x:v>ORD-10252</x:v>
      </x:c>
      <x:c r="B253" s="8" t="n">
        <x:v>46017</x:v>
      </x:c>
      <x:c r="C253" t="n">
        <x:v>2025</x:v>
      </x:c>
      <x:c r="D253" t="str">
        <x:v>United States</x:v>
      </x:c>
      <x:c r="E253" t="str">
        <x:v>North America</x:v>
      </x:c>
      <x:c r="F253" t="str">
        <x:v>Furniture</x:v>
      </x:c>
      <x:c r="G253" t="str">
        <x:v>Desk</x:v>
      </x:c>
      <x:c r="H253" t="str">
        <x:v>Corporate</x:v>
      </x:c>
      <x:c r="I253" t="n">
        <x:v>30</x:v>
      </x:c>
      <x:c r="J253" s="10" t="n">
        <x:v>11697.5</x:v>
      </x:c>
      <x:c r="K253" s="10" t="n">
        <x:v>9119.61</x:v>
      </x:c>
      <x:c r="L253" s="10" t="n">
        <x:v>2577.88</x:v>
      </x:c>
      <x:c r="M253" s="12" t="n">
        <x:v>0.22037906525041315</x:v>
      </x:c>
    </x:row>
    <x:row r="254">
      <x:c r="A254" t="str">
        <x:v>ORD-10253</x:v>
      </x:c>
      <x:c r="B254" s="8" t="n">
        <x:v>45675</x:v>
      </x:c>
      <x:c r="C254" t="n">
        <x:v>2025</x:v>
      </x:c>
      <x:c r="D254" t="str">
        <x:v>Canada</x:v>
      </x:c>
      <x:c r="E254" t="str">
        <x:v>North America</x:v>
      </x:c>
      <x:c r="F254" t="str">
        <x:v>Office Supplies</x:v>
      </x:c>
      <x:c r="G254" t="str">
        <x:v>Desk Organizer</x:v>
      </x:c>
      <x:c r="H254" t="str">
        <x:v>Consumer</x:v>
      </x:c>
      <x:c r="I254" t="n">
        <x:v>29</x:v>
      </x:c>
      <x:c r="J254" s="10" t="n">
        <x:v>2886.52</x:v>
      </x:c>
      <x:c r="K254" s="10" t="n">
        <x:v>2338.14</x:v>
      </x:c>
      <x:c r="L254" s="10" t="n">
        <x:v>548.38</x:v>
      </x:c>
      <x:c r="M254" s="12" t="n">
        <x:v>0.18997950666851318</x:v>
      </x:c>
    </x:row>
    <x:row r="255">
      <x:c r="A255" t="str">
        <x:v>ORD-10254</x:v>
      </x:c>
      <x:c r="B255" s="8" t="n">
        <x:v>45700</x:v>
      </x:c>
      <x:c r="C255" t="n">
        <x:v>2025</x:v>
      </x:c>
      <x:c r="D255" t="str">
        <x:v>Canada</x:v>
      </x:c>
      <x:c r="E255" t="str">
        <x:v>North America</x:v>
      </x:c>
      <x:c r="F255" t="str">
        <x:v>Technology</x:v>
      </x:c>
      <x:c r="G255" t="str">
        <x:v>Smartphone</x:v>
      </x:c>
      <x:c r="H255" t="str">
        <x:v>Home Office</x:v>
      </x:c>
      <x:c r="I255" t="n">
        <x:v>33</x:v>
      </x:c>
      <x:c r="J255" s="10" t="n">
        <x:v>13586.25</x:v>
      </x:c>
      <x:c r="K255" s="10" t="n">
        <x:v>10458.86</x:v>
      </x:c>
      <x:c r="L255" s="10" t="n">
        <x:v>3127.39</x:v>
      </x:c>
      <x:c r="M255" s="12" t="n">
        <x:v>0.23018772031200788</x:v>
      </x:c>
    </x:row>
    <x:row r="256">
      <x:c r="A256" t="str">
        <x:v>ORD-10255</x:v>
      </x:c>
      <x:c r="B256" s="8" t="n">
        <x:v>45728</x:v>
      </x:c>
      <x:c r="C256" t="n">
        <x:v>2025</x:v>
      </x:c>
      <x:c r="D256" t="str">
        <x:v>Canada</x:v>
      </x:c>
      <x:c r="E256" t="str">
        <x:v>North America</x:v>
      </x:c>
      <x:c r="F256" t="str">
        <x:v>Technology</x:v>
      </x:c>
      <x:c r="G256" t="str">
        <x:v>Headphones</x:v>
      </x:c>
      <x:c r="H256" t="str">
        <x:v>Consumer</x:v>
      </x:c>
      <x:c r="I256" t="n">
        <x:v>100</x:v>
      </x:c>
      <x:c r="J256" s="10" t="n">
        <x:v>51239.36</x:v>
      </x:c>
      <x:c r="K256" s="10" t="n">
        <x:v>36235.54</x:v>
      </x:c>
      <x:c r="L256" s="10" t="n">
        <x:v>15003.81</x:v>
      </x:c>
      <x:c r="M256" s="12" t="n">
        <x:v>0.2928181469213853</x:v>
      </x:c>
    </x:row>
    <x:row r="257">
      <x:c r="A257" t="str">
        <x:v>ORD-10256</x:v>
      </x:c>
      <x:c r="B257" s="8" t="n">
        <x:v>45759</x:v>
      </x:c>
      <x:c r="C257" t="n">
        <x:v>2025</x:v>
      </x:c>
      <x:c r="D257" t="str">
        <x:v>Canada</x:v>
      </x:c>
      <x:c r="E257" t="str">
        <x:v>North America</x:v>
      </x:c>
      <x:c r="F257" t="str">
        <x:v>Technology</x:v>
      </x:c>
      <x:c r="G257" t="str">
        <x:v>Laptop</x:v>
      </x:c>
      <x:c r="H257" t="str">
        <x:v>Corporate</x:v>
      </x:c>
      <x:c r="I257" t="n">
        <x:v>75</x:v>
      </x:c>
      <x:c r="J257" s="10" t="n">
        <x:v>25914.67</x:v>
      </x:c>
      <x:c r="K257" s="10" t="n">
        <x:v>18751.19</x:v>
      </x:c>
      <x:c r="L257" s="10" t="n">
        <x:v>7163.48</x:v>
      </x:c>
      <x:c r="M257" s="12" t="n">
        <x:v>0.2764257585832829</x:v>
      </x:c>
    </x:row>
    <x:row r="258">
      <x:c r="A258" t="str">
        <x:v>ORD-10257</x:v>
      </x:c>
      <x:c r="B258" s="8" t="n">
        <x:v>45799</x:v>
      </x:c>
      <x:c r="C258" t="n">
        <x:v>2025</x:v>
      </x:c>
      <x:c r="D258" t="str">
        <x:v>Canada</x:v>
      </x:c>
      <x:c r="E258" t="str">
        <x:v>North America</x:v>
      </x:c>
      <x:c r="F258" t="str">
        <x:v>Furniture</x:v>
      </x:c>
      <x:c r="G258" t="str">
        <x:v>Office Chair</x:v>
      </x:c>
      <x:c r="H258" t="str">
        <x:v>Corporate</x:v>
      </x:c>
      <x:c r="I258" t="n">
        <x:v>115</x:v>
      </x:c>
      <x:c r="J258" s="10" t="n">
        <x:v>25055.24</x:v>
      </x:c>
      <x:c r="K258" s="10" t="n">
        <x:v>20070.87</x:v>
      </x:c>
      <x:c r="L258" s="10" t="n">
        <x:v>4984.37</x:v>
      </x:c>
      <x:c r="M258" s="12" t="n">
        <x:v>0.1989351109262774</x:v>
      </x:c>
    </x:row>
    <x:row r="259">
      <x:c r="A259" t="str">
        <x:v>ORD-10258</x:v>
      </x:c>
      <x:c r="B259" s="8" t="n">
        <x:v>45820</x:v>
      </x:c>
      <x:c r="C259" t="n">
        <x:v>2025</x:v>
      </x:c>
      <x:c r="D259" t="str">
        <x:v>Canada</x:v>
      </x:c>
      <x:c r="E259" t="str">
        <x:v>North America</x:v>
      </x:c>
      <x:c r="F259" t="str">
        <x:v>Office Supplies</x:v>
      </x:c>
      <x:c r="G259" t="str">
        <x:v>Printer Paper</x:v>
      </x:c>
      <x:c r="H259" t="str">
        <x:v>Home Office</x:v>
      </x:c>
      <x:c r="I259" t="n">
        <x:v>109</x:v>
      </x:c>
      <x:c r="J259" s="10" t="n">
        <x:v>10433.33</x:v>
      </x:c>
      <x:c r="K259" s="10" t="n">
        <x:v>8909.96</x:v>
      </x:c>
      <x:c r="L259" s="10" t="n">
        <x:v>1523.36</x:v>
      </x:c>
      <x:c r="M259" s="12" t="n">
        <x:v>0.1460091507831237</x:v>
      </x:c>
    </x:row>
    <x:row r="260">
      <x:c r="A260" t="str">
        <x:v>ORD-10259</x:v>
      </x:c>
      <x:c r="B260" s="8" t="n">
        <x:v>45861</x:v>
      </x:c>
      <x:c r="C260" t="n">
        <x:v>2025</x:v>
      </x:c>
      <x:c r="D260" t="str">
        <x:v>Canada</x:v>
      </x:c>
      <x:c r="E260" t="str">
        <x:v>North America</x:v>
      </x:c>
      <x:c r="F260" t="str">
        <x:v>Office Supplies</x:v>
      </x:c>
      <x:c r="G260" t="str">
        <x:v>Binders</x:v>
      </x:c>
      <x:c r="H260" t="str">
        <x:v>Home Office</x:v>
      </x:c>
      <x:c r="I260" t="n">
        <x:v>37</x:v>
      </x:c>
      <x:c r="J260" s="10" t="n">
        <x:v>3671.67</x:v>
      </x:c>
      <x:c r="K260" s="10" t="n">
        <x:v>2892.68</x:v>
      </x:c>
      <x:c r="L260" s="10" t="n">
        <x:v>778.99</x:v>
      </x:c>
      <x:c r="M260" s="12" t="n">
        <x:v>0.21216190796907802</x:v>
      </x:c>
    </x:row>
    <x:row r="261">
      <x:c r="A261" t="str">
        <x:v>ORD-10260</x:v>
      </x:c>
      <x:c r="B261" s="8" t="n">
        <x:v>45871</x:v>
      </x:c>
      <x:c r="C261" t="n">
        <x:v>2025</x:v>
      </x:c>
      <x:c r="D261" t="str">
        <x:v>Canada</x:v>
      </x:c>
      <x:c r="E261" t="str">
        <x:v>North America</x:v>
      </x:c>
      <x:c r="F261" t="str">
        <x:v>Furniture</x:v>
      </x:c>
      <x:c r="G261" t="str">
        <x:v>Desk</x:v>
      </x:c>
      <x:c r="H261" t="str">
        <x:v>Consumer</x:v>
      </x:c>
      <x:c r="I261" t="n">
        <x:v>23</x:v>
      </x:c>
      <x:c r="J261" s="10" t="n">
        <x:v>7477.42</x:v>
      </x:c>
      <x:c r="K261" s="10" t="n">
        <x:v>5359.57</x:v>
      </x:c>
      <x:c r="L261" s="10" t="n">
        <x:v>2117.85</x:v>
      </x:c>
      <x:c r="M261" s="12" t="n">
        <x:v>0.2832326180854555</x:v>
      </x:c>
    </x:row>
    <x:row r="262">
      <x:c r="A262" t="str">
        <x:v>ORD-10261</x:v>
      </x:c>
      <x:c r="B262" s="8" t="n">
        <x:v>45910</x:v>
      </x:c>
      <x:c r="C262" t="n">
        <x:v>2025</x:v>
      </x:c>
      <x:c r="D262" t="str">
        <x:v>Canada</x:v>
      </x:c>
      <x:c r="E262" t="str">
        <x:v>North America</x:v>
      </x:c>
      <x:c r="F262" t="str">
        <x:v>Furniture</x:v>
      </x:c>
      <x:c r="G262" t="str">
        <x:v>Desk</x:v>
      </x:c>
      <x:c r="H262" t="str">
        <x:v>Consumer</x:v>
      </x:c>
      <x:c r="I262" t="n">
        <x:v>116</x:v>
      </x:c>
      <x:c r="J262" s="10" t="n">
        <x:v>27803.38</x:v>
      </x:c>
      <x:c r="K262" s="10" t="n">
        <x:v>22936.99</x:v>
      </x:c>
      <x:c r="L262" s="10" t="n">
        <x:v>4866.39</x:v>
      </x:c>
      <x:c r="M262" s="12" t="n">
        <x:v>0.17502871303164586</x:v>
      </x:c>
    </x:row>
    <x:row r="263">
      <x:c r="A263" t="str">
        <x:v>ORD-10262</x:v>
      </x:c>
      <x:c r="B263" s="8" t="n">
        <x:v>45937</x:v>
      </x:c>
      <x:c r="C263" t="n">
        <x:v>2025</x:v>
      </x:c>
      <x:c r="D263" t="str">
        <x:v>Canada</x:v>
      </x:c>
      <x:c r="E263" t="str">
        <x:v>North America</x:v>
      </x:c>
      <x:c r="F263" t="str">
        <x:v>Office Supplies</x:v>
      </x:c>
      <x:c r="G263" t="str">
        <x:v>Desk Organizer</x:v>
      </x:c>
      <x:c r="H263" t="str">
        <x:v>Home Office</x:v>
      </x:c>
      <x:c r="I263" t="n">
        <x:v>75</x:v>
      </x:c>
      <x:c r="J263" s="10" t="n">
        <x:v>5378.1</x:v>
      </x:c>
      <x:c r="K263" s="10" t="n">
        <x:v>4192.8</x:v>
      </x:c>
      <x:c r="L263" s="10" t="n">
        <x:v>1185.31</x:v>
      </x:c>
      <x:c r="M263" s="12" t="n">
        <x:v>0.22039491025826383</x:v>
      </x:c>
    </x:row>
    <x:row r="264">
      <x:c r="A264" t="str">
        <x:v>ORD-10263</x:v>
      </x:c>
      <x:c r="B264" s="8" t="n">
        <x:v>45973</x:v>
      </x:c>
      <x:c r="C264" t="n">
        <x:v>2025</x:v>
      </x:c>
      <x:c r="D264" t="str">
        <x:v>Canada</x:v>
      </x:c>
      <x:c r="E264" t="str">
        <x:v>North America</x:v>
      </x:c>
      <x:c r="F264" t="str">
        <x:v>Furniture</x:v>
      </x:c>
      <x:c r="G264" t="str">
        <x:v>Bookshelf</x:v>
      </x:c>
      <x:c r="H264" t="str">
        <x:v>Consumer</x:v>
      </x:c>
      <x:c r="I264" t="n">
        <x:v>98</x:v>
      </x:c>
      <x:c r="J264" s="10" t="n">
        <x:v>25635.53</x:v>
      </x:c>
      <x:c r="K264" s="10" t="n">
        <x:v>20894.57</x:v>
      </x:c>
      <x:c r="L264" s="10" t="n">
        <x:v>4740.96</x:v>
      </x:c>
      <x:c r="M264" s="12" t="n">
        <x:v>0.18493700098932614</x:v>
      </x:c>
    </x:row>
    <x:row r="265">
      <x:c r="A265" t="str">
        <x:v>ORD-10264</x:v>
      </x:c>
      <x:c r="B265" s="8" t="n">
        <x:v>45997</x:v>
      </x:c>
      <x:c r="C265" t="n">
        <x:v>2025</x:v>
      </x:c>
      <x:c r="D265" t="str">
        <x:v>Canada</x:v>
      </x:c>
      <x:c r="E265" t="str">
        <x:v>North America</x:v>
      </x:c>
      <x:c r="F265" t="str">
        <x:v>Furniture</x:v>
      </x:c>
      <x:c r="G265" t="str">
        <x:v>Storage Cabinet</x:v>
      </x:c>
      <x:c r="H265" t="str">
        <x:v>Home Office</x:v>
      </x:c>
      <x:c r="I265" t="n">
        <x:v>71</x:v>
      </x:c>
      <x:c r="J265" s="10" t="n">
        <x:v>25179.25</x:v>
      </x:c>
      <x:c r="K265" s="10" t="n">
        <x:v>19730.52</x:v>
      </x:c>
      <x:c r="L265" s="10" t="n">
        <x:v>5448.72</x:v>
      </x:c>
      <x:c r="M265" s="12" t="n">
        <x:v>0.21639737219128313</x:v>
      </x:c>
    </x:row>
    <x:row r="266">
      <x:c r="A266" t="str">
        <x:v>ORD-10265</x:v>
      </x:c>
      <x:c r="B266" s="8" t="n">
        <x:v>45681</x:v>
      </x:c>
      <x:c r="C266" t="n">
        <x:v>2025</x:v>
      </x:c>
      <x:c r="D266" t="str">
        <x:v>Mexico</x:v>
      </x:c>
      <x:c r="E266" t="str">
        <x:v>North America</x:v>
      </x:c>
      <x:c r="F266" t="str">
        <x:v>Furniture</x:v>
      </x:c>
      <x:c r="G266" t="str">
        <x:v>Storage Cabinet</x:v>
      </x:c>
      <x:c r="H266" t="str">
        <x:v>Corporate</x:v>
      </x:c>
      <x:c r="I266" t="n">
        <x:v>117</x:v>
      </x:c>
      <x:c r="J266" s="10" t="n">
        <x:v>28417.68</x:v>
      </x:c>
      <x:c r="K266" s="10" t="n">
        <x:v>20854.67</x:v>
      </x:c>
      <x:c r="L266" s="10" t="n">
        <x:v>7563.02</x:v>
      </x:c>
      <x:c r="M266" s="12" t="n">
        <x:v>0.26613777048821285</x:v>
      </x:c>
    </x:row>
    <x:row r="267">
      <x:c r="A267" t="str">
        <x:v>ORD-10266</x:v>
      </x:c>
      <x:c r="B267" s="8" t="n">
        <x:v>45698</x:v>
      </x:c>
      <x:c r="C267" t="n">
        <x:v>2025</x:v>
      </x:c>
      <x:c r="D267" t="str">
        <x:v>Mexico</x:v>
      </x:c>
      <x:c r="E267" t="str">
        <x:v>North America</x:v>
      </x:c>
      <x:c r="F267" t="str">
        <x:v>Furniture</x:v>
      </x:c>
      <x:c r="G267" t="str">
        <x:v>Office Chair</x:v>
      </x:c>
      <x:c r="H267" t="str">
        <x:v>Corporate</x:v>
      </x:c>
      <x:c r="I267" t="n">
        <x:v>92</x:v>
      </x:c>
      <x:c r="J267" s="10" t="n">
        <x:v>28355.05</x:v>
      </x:c>
      <x:c r="K267" s="10" t="n">
        <x:v>22920.67</x:v>
      </x:c>
      <x:c r="L267" s="10" t="n">
        <x:v>5434.38</x:v>
      </x:c>
      <x:c r="M267" s="12" t="n">
        <x:v>0.19165477831257077</x:v>
      </x:c>
    </x:row>
    <x:row r="268">
      <x:c r="A268" t="str">
        <x:v>ORD-10267</x:v>
      </x:c>
      <x:c r="B268" s="8" t="n">
        <x:v>45736</x:v>
      </x:c>
      <x:c r="C268" t="n">
        <x:v>2025</x:v>
      </x:c>
      <x:c r="D268" t="str">
        <x:v>Mexico</x:v>
      </x:c>
      <x:c r="E268" t="str">
        <x:v>North America</x:v>
      </x:c>
      <x:c r="F268" t="str">
        <x:v>Furniture</x:v>
      </x:c>
      <x:c r="G268" t="str">
        <x:v>Office Chair</x:v>
      </x:c>
      <x:c r="H268" t="str">
        <x:v>Consumer</x:v>
      </x:c>
      <x:c r="I268" t="n">
        <x:v>56</x:v>
      </x:c>
      <x:c r="J268" s="10" t="n">
        <x:v>14690.54</x:v>
      </x:c>
      <x:c r="K268" s="10" t="n">
        <x:v>11652.83</x:v>
      </x:c>
      <x:c r="L268" s="10" t="n">
        <x:v>3037.7</x:v>
      </x:c>
      <x:c r="M268" s="12" t="n">
        <x:v>0.20677950273089032</x:v>
      </x:c>
    </x:row>
    <x:row r="269">
      <x:c r="A269" t="str">
        <x:v>ORD-10268</x:v>
      </x:c>
      <x:c r="B269" s="8" t="n">
        <x:v>45771</x:v>
      </x:c>
      <x:c r="C269" t="n">
        <x:v>2025</x:v>
      </x:c>
      <x:c r="D269" t="str">
        <x:v>Mexico</x:v>
      </x:c>
      <x:c r="E269" t="str">
        <x:v>North America</x:v>
      </x:c>
      <x:c r="F269" t="str">
        <x:v>Office Supplies</x:v>
      </x:c>
      <x:c r="G269" t="str">
        <x:v>Desk Organizer</x:v>
      </x:c>
      <x:c r="H269" t="str">
        <x:v>Consumer</x:v>
      </x:c>
      <x:c r="I269" t="n">
        <x:v>103</x:v>
      </x:c>
      <x:c r="J269" s="10" t="n">
        <x:v>6909.11</x:v>
      </x:c>
      <x:c r="K269" s="10" t="n">
        <x:v>5640.22</x:v>
      </x:c>
      <x:c r="L269" s="10" t="n">
        <x:v>1268.9</x:v>
      </x:c>
      <x:c r="M269" s="12" t="n">
        <x:v>0.18365555916043091</x:v>
      </x:c>
    </x:row>
    <x:row r="270">
      <x:c r="A270" t="str">
        <x:v>ORD-10269</x:v>
      </x:c>
      <x:c r="B270" s="8" t="n">
        <x:v>45780</x:v>
      </x:c>
      <x:c r="C270" t="n">
        <x:v>2025</x:v>
      </x:c>
      <x:c r="D270" t="str">
        <x:v>Mexico</x:v>
      </x:c>
      <x:c r="E270" t="str">
        <x:v>North America</x:v>
      </x:c>
      <x:c r="F270" t="str">
        <x:v>Furniture</x:v>
      </x:c>
      <x:c r="G270" t="str">
        <x:v>Storage Cabinet</x:v>
      </x:c>
      <x:c r="H270" t="str">
        <x:v>Corporate</x:v>
      </x:c>
      <x:c r="I270" t="n">
        <x:v>96</x:v>
      </x:c>
      <x:c r="J270" s="10" t="n">
        <x:v>29389.26</x:v>
      </x:c>
      <x:c r="K270" s="10" t="n">
        <x:v>21050.1</x:v>
      </x:c>
      <x:c r="L270" s="10" t="n">
        <x:v>8339.16</x:v>
      </x:c>
      <x:c r="M270" s="12" t="n">
        <x:v>0.28374852543237045</x:v>
      </x:c>
    </x:row>
    <x:row r="271">
      <x:c r="A271" t="str">
        <x:v>ORD-10270</x:v>
      </x:c>
      <x:c r="B271" s="8" t="n">
        <x:v>45809</x:v>
      </x:c>
      <x:c r="C271" t="n">
        <x:v>2025</x:v>
      </x:c>
      <x:c r="D271" t="str">
        <x:v>Mexico</x:v>
      </x:c>
      <x:c r="E271" t="str">
        <x:v>North America</x:v>
      </x:c>
      <x:c r="F271" t="str">
        <x:v>Office Supplies</x:v>
      </x:c>
      <x:c r="G271" t="str">
        <x:v>Desk Organizer</x:v>
      </x:c>
      <x:c r="H271" t="str">
        <x:v>Corporate</x:v>
      </x:c>
      <x:c r="I271" t="n">
        <x:v>80</x:v>
      </x:c>
      <x:c r="J271" s="10" t="n">
        <x:v>6497.87</x:v>
      </x:c>
      <x:c r="K271" s="10" t="n">
        <x:v>5123.38</x:v>
      </x:c>
      <x:c r="L271" s="10" t="n">
        <x:v>1374.49</x:v>
      </x:c>
      <x:c r="M271" s="12" t="n">
        <x:v>0.21152927293776272</x:v>
      </x:c>
    </x:row>
    <x:row r="272">
      <x:c r="A272" t="str">
        <x:v>ORD-10271</x:v>
      </x:c>
      <x:c r="B272" s="8" t="n">
        <x:v>45850</x:v>
      </x:c>
      <x:c r="C272" t="n">
        <x:v>2025</x:v>
      </x:c>
      <x:c r="D272" t="str">
        <x:v>Mexico</x:v>
      </x:c>
      <x:c r="E272" t="str">
        <x:v>North America</x:v>
      </x:c>
      <x:c r="F272" t="str">
        <x:v>Technology</x:v>
      </x:c>
      <x:c r="G272" t="str">
        <x:v>Headphones</x:v>
      </x:c>
      <x:c r="H272" t="str">
        <x:v>Consumer</x:v>
      </x:c>
      <x:c r="I272" t="n">
        <x:v>31</x:v>
      </x:c>
      <x:c r="J272" s="10" t="n">
        <x:v>9055.4</x:v>
      </x:c>
      <x:c r="K272" s="10" t="n">
        <x:v>6126.69</x:v>
      </x:c>
      <x:c r="L272" s="10" t="n">
        <x:v>2928.71</x:v>
      </x:c>
      <x:c r="M272" s="12" t="n">
        <x:v>0.3234218448208238</x:v>
      </x:c>
    </x:row>
    <x:row r="273">
      <x:c r="A273" t="str">
        <x:v>ORD-10272</x:v>
      </x:c>
      <x:c r="B273" s="8" t="n">
        <x:v>45881</x:v>
      </x:c>
      <x:c r="C273" t="n">
        <x:v>2025</x:v>
      </x:c>
      <x:c r="D273" t="str">
        <x:v>Mexico</x:v>
      </x:c>
      <x:c r="E273" t="str">
        <x:v>North America</x:v>
      </x:c>
      <x:c r="F273" t="str">
        <x:v>Furniture</x:v>
      </x:c>
      <x:c r="G273" t="str">
        <x:v>Storage Cabinet</x:v>
      </x:c>
      <x:c r="H273" t="str">
        <x:v>Home Office</x:v>
      </x:c>
      <x:c r="I273" t="n">
        <x:v>19</x:v>
      </x:c>
      <x:c r="J273" s="10" t="n">
        <x:v>4838.68</x:v>
      </x:c>
      <x:c r="K273" s="10" t="n">
        <x:v>3621.81</x:v>
      </x:c>
      <x:c r="L273" s="10" t="n">
        <x:v>1216.87</x:v>
      </x:c>
      <x:c r="M273" s="12" t="n">
        <x:v>0.2514874468296074</x:v>
      </x:c>
    </x:row>
    <x:row r="274">
      <x:c r="A274" t="str">
        <x:v>ORD-10273</x:v>
      </x:c>
      <x:c r="B274" s="8" t="n">
        <x:v>45911</x:v>
      </x:c>
      <x:c r="C274" t="n">
        <x:v>2025</x:v>
      </x:c>
      <x:c r="D274" t="str">
        <x:v>Mexico</x:v>
      </x:c>
      <x:c r="E274" t="str">
        <x:v>North America</x:v>
      </x:c>
      <x:c r="F274" t="str">
        <x:v>Furniture</x:v>
      </x:c>
      <x:c r="G274" t="str">
        <x:v>Storage Cabinet</x:v>
      </x:c>
      <x:c r="H274" t="str">
        <x:v>Consumer</x:v>
      </x:c>
      <x:c r="I274" t="n">
        <x:v>88</x:v>
      </x:c>
      <x:c r="J274" s="10" t="n">
        <x:v>16764.25</x:v>
      </x:c>
      <x:c r="K274" s="10" t="n">
        <x:v>13176.13</x:v>
      </x:c>
      <x:c r="L274" s="10" t="n">
        <x:v>3588.12</x:v>
      </x:c>
      <x:c r="M274" s="12" t="n">
        <x:v>0.2140339938384599</x:v>
      </x:c>
    </x:row>
    <x:row r="275">
      <x:c r="A275" t="str">
        <x:v>ORD-10274</x:v>
      </x:c>
      <x:c r="B275" s="8" t="n">
        <x:v>45947</x:v>
      </x:c>
      <x:c r="C275" t="n">
        <x:v>2025</x:v>
      </x:c>
      <x:c r="D275" t="str">
        <x:v>Mexico</x:v>
      </x:c>
      <x:c r="E275" t="str">
        <x:v>North America</x:v>
      </x:c>
      <x:c r="F275" t="str">
        <x:v>Office Supplies</x:v>
      </x:c>
      <x:c r="G275" t="str">
        <x:v>Binders</x:v>
      </x:c>
      <x:c r="H275" t="str">
        <x:v>Consumer</x:v>
      </x:c>
      <x:c r="I275" t="n">
        <x:v>29</x:v>
      </x:c>
      <x:c r="J275" s="10" t="n">
        <x:v>1465.26</x:v>
      </x:c>
      <x:c r="K275" s="10" t="n">
        <x:v>1242.06</x:v>
      </x:c>
      <x:c r="L275" s="10" t="n">
        <x:v>223.2</x:v>
      </x:c>
      <x:c r="M275" s="12" t="n">
        <x:v>0.15232576593671196</x:v>
      </x:c>
    </x:row>
    <x:row r="276">
      <x:c r="A276" t="str">
        <x:v>ORD-10275</x:v>
      </x:c>
      <x:c r="B276" s="8" t="n">
        <x:v>45981</x:v>
      </x:c>
      <x:c r="C276" t="n">
        <x:v>2025</x:v>
      </x:c>
      <x:c r="D276" t="str">
        <x:v>Mexico</x:v>
      </x:c>
      <x:c r="E276" t="str">
        <x:v>North America</x:v>
      </x:c>
      <x:c r="F276" t="str">
        <x:v>Furniture</x:v>
      </x:c>
      <x:c r="G276" t="str">
        <x:v>Office Chair</x:v>
      </x:c>
      <x:c r="H276" t="str">
        <x:v>Corporate</x:v>
      </x:c>
      <x:c r="I276" t="n">
        <x:v>114</x:v>
      </x:c>
      <x:c r="J276" s="10" t="n">
        <x:v>23635.91</x:v>
      </x:c>
      <x:c r="K276" s="10" t="n">
        <x:v>18352.04</x:v>
      </x:c>
      <x:c r="L276" s="10" t="n">
        <x:v>5283.87</x:v>
      </x:c>
      <x:c r="M276" s="12" t="n">
        <x:v>0.22355277348867397</x:v>
      </x:c>
    </x:row>
    <x:row r="277">
      <x:c r="A277" t="str">
        <x:v>ORD-10276</x:v>
      </x:c>
      <x:c r="B277" s="8" t="n">
        <x:v>45997</x:v>
      </x:c>
      <x:c r="C277" t="n">
        <x:v>2025</x:v>
      </x:c>
      <x:c r="D277" t="str">
        <x:v>Mexico</x:v>
      </x:c>
      <x:c r="E277" t="str">
        <x:v>North America</x:v>
      </x:c>
      <x:c r="F277" t="str">
        <x:v>Furniture</x:v>
      </x:c>
      <x:c r="G277" t="str">
        <x:v>Storage Cabinet</x:v>
      </x:c>
      <x:c r="H277" t="str">
        <x:v>Consumer</x:v>
      </x:c>
      <x:c r="I277" t="n">
        <x:v>30</x:v>
      </x:c>
      <x:c r="J277" s="10" t="n">
        <x:v>5706.98</x:v>
      </x:c>
      <x:c r="K277" s="10" t="n">
        <x:v>4686.08</x:v>
      </x:c>
      <x:c r="L277" s="10" t="n">
        <x:v>1020.9</x:v>
      </x:c>
      <x:c r="M277" s="12" t="n">
        <x:v>0.1788862447011851</x:v>
      </x:c>
    </x:row>
    <x:row r="278">
      <x:c r="A278" t="str">
        <x:v>ORD-10277</x:v>
      </x:c>
      <x:c r="B278" s="8" t="n">
        <x:v>45668</x:v>
      </x:c>
      <x:c r="C278" t="n">
        <x:v>2025</x:v>
      </x:c>
      <x:c r="D278" t="str">
        <x:v>Brazil</x:v>
      </x:c>
      <x:c r="E278" t="str">
        <x:v>South America</x:v>
      </x:c>
      <x:c r="F278" t="str">
        <x:v>Office Supplies</x:v>
      </x:c>
      <x:c r="G278" t="str">
        <x:v>Desk Organizer</x:v>
      </x:c>
      <x:c r="H278" t="str">
        <x:v>Consumer</x:v>
      </x:c>
      <x:c r="I278" t="n">
        <x:v>118</x:v>
      </x:c>
      <x:c r="J278" s="10" t="n">
        <x:v>10915.09</x:v>
      </x:c>
      <x:c r="K278" s="10" t="n">
        <x:v>8388.66</x:v>
      </x:c>
      <x:c r="L278" s="10" t="n">
        <x:v>2526.43</x:v>
      </x:c>
      <x:c r="M278" s="12" t="n">
        <x:v>0.23146254627696394</x:v>
      </x:c>
    </x:row>
    <x:row r="279">
      <x:c r="A279" t="str">
        <x:v>ORD-10278</x:v>
      </x:c>
      <x:c r="B279" s="8" t="n">
        <x:v>45698</x:v>
      </x:c>
      <x:c r="C279" t="n">
        <x:v>2025</x:v>
      </x:c>
      <x:c r="D279" t="str">
        <x:v>Brazil</x:v>
      </x:c>
      <x:c r="E279" t="str">
        <x:v>South America</x:v>
      </x:c>
      <x:c r="F279" t="str">
        <x:v>Office Supplies</x:v>
      </x:c>
      <x:c r="G279" t="str">
        <x:v>Binders</x:v>
      </x:c>
      <x:c r="H279" t="str">
        <x:v>Home Office</x:v>
      </x:c>
      <x:c r="I279" t="n">
        <x:v>23</x:v>
      </x:c>
      <x:c r="J279" s="10" t="n">
        <x:v>1982.23</x:v>
      </x:c>
      <x:c r="K279" s="10" t="n">
        <x:v>1655.47</x:v>
      </x:c>
      <x:c r="L279" s="10" t="n">
        <x:v>326.76</x:v>
      </x:c>
      <x:c r="M279" s="12" t="n">
        <x:v>0.16484347393333768</x:v>
      </x:c>
    </x:row>
    <x:row r="280">
      <x:c r="A280" t="str">
        <x:v>ORD-10279</x:v>
      </x:c>
      <x:c r="B280" s="8" t="n">
        <x:v>45742</x:v>
      </x:c>
      <x:c r="C280" t="n">
        <x:v>2025</x:v>
      </x:c>
      <x:c r="D280" t="str">
        <x:v>Brazil</x:v>
      </x:c>
      <x:c r="E280" t="str">
        <x:v>South America</x:v>
      </x:c>
      <x:c r="F280" t="str">
        <x:v>Technology</x:v>
      </x:c>
      <x:c r="G280" t="str">
        <x:v>Smartphone</x:v>
      </x:c>
      <x:c r="H280" t="str">
        <x:v>Corporate</x:v>
      </x:c>
      <x:c r="I280" t="n">
        <x:v>80</x:v>
      </x:c>
      <x:c r="J280" s="10" t="n">
        <x:v>31622.84</x:v>
      </x:c>
      <x:c r="K280" s="10" t="n">
        <x:v>20611.26</x:v>
      </x:c>
      <x:c r="L280" s="10" t="n">
        <x:v>11011.57</x:v>
      </x:c>
      <x:c r="M280" s="12" t="n">
        <x:v>0.3482159056076231</x:v>
      </x:c>
    </x:row>
    <x:row r="281">
      <x:c r="A281" t="str">
        <x:v>ORD-10280</x:v>
      </x:c>
      <x:c r="B281" s="8" t="n">
        <x:v>45762</x:v>
      </x:c>
      <x:c r="C281" t="n">
        <x:v>2025</x:v>
      </x:c>
      <x:c r="D281" t="str">
        <x:v>Brazil</x:v>
      </x:c>
      <x:c r="E281" t="str">
        <x:v>South America</x:v>
      </x:c>
      <x:c r="F281" t="str">
        <x:v>Technology</x:v>
      </x:c>
      <x:c r="G281" t="str">
        <x:v>Smartphone</x:v>
      </x:c>
      <x:c r="H281" t="str">
        <x:v>Corporate</x:v>
      </x:c>
      <x:c r="I281" t="n">
        <x:v>18</x:v>
      </x:c>
      <x:c r="J281" s="10" t="n">
        <x:v>7774.68</x:v>
      </x:c>
      <x:c r="K281" s="10" t="n">
        <x:v>5452.59</x:v>
      </x:c>
      <x:c r="L281" s="10" t="n">
        <x:v>2322.09</x:v>
      </x:c>
      <x:c r="M281" s="12" t="n">
        <x:v>0.29867328885398314</x:v>
      </x:c>
    </x:row>
    <x:row r="282">
      <x:c r="A282" t="str">
        <x:v>ORD-10281</x:v>
      </x:c>
      <x:c r="B282" s="8" t="n">
        <x:v>45800</x:v>
      </x:c>
      <x:c r="C282" t="n">
        <x:v>2025</x:v>
      </x:c>
      <x:c r="D282" t="str">
        <x:v>Brazil</x:v>
      </x:c>
      <x:c r="E282" t="str">
        <x:v>South America</x:v>
      </x:c>
      <x:c r="F282" t="str">
        <x:v>Office Supplies</x:v>
      </x:c>
      <x:c r="G282" t="str">
        <x:v>Pens</x:v>
      </x:c>
      <x:c r="H282" t="str">
        <x:v>Home Office</x:v>
      </x:c>
      <x:c r="I282" t="n">
        <x:v>26</x:v>
      </x:c>
      <x:c r="J282" s="10" t="n">
        <x:v>1637.95</x:v>
      </x:c>
      <x:c r="K282" s="10" t="n">
        <x:v>1346.76</x:v>
      </x:c>
      <x:c r="L282" s="10" t="n">
        <x:v>291.19</x:v>
      </x:c>
      <x:c r="M282" s="12" t="n">
        <x:v>0.1777791976925091</x:v>
      </x:c>
    </x:row>
    <x:row r="283">
      <x:c r="A283" t="str">
        <x:v>ORD-10282</x:v>
      </x:c>
      <x:c r="B283" s="8" t="n">
        <x:v>45811</x:v>
      </x:c>
      <x:c r="C283" t="n">
        <x:v>2025</x:v>
      </x:c>
      <x:c r="D283" t="str">
        <x:v>Brazil</x:v>
      </x:c>
      <x:c r="E283" t="str">
        <x:v>South America</x:v>
      </x:c>
      <x:c r="F283" t="str">
        <x:v>Office Supplies</x:v>
      </x:c>
      <x:c r="G283" t="str">
        <x:v>Desk Organizer</x:v>
      </x:c>
      <x:c r="H283" t="str">
        <x:v>Home Office</x:v>
      </x:c>
      <x:c r="I283" t="n">
        <x:v>67</x:v>
      </x:c>
      <x:c r="J283" s="10" t="n">
        <x:v>6477.4</x:v>
      </x:c>
      <x:c r="K283" s="10" t="n">
        <x:v>4995.37</x:v>
      </x:c>
      <x:c r="L283" s="10" t="n">
        <x:v>1482.03</x:v>
      </x:c>
      <x:c r="M283" s="12" t="n">
        <x:v>0.22880072794100695</x:v>
      </x:c>
    </x:row>
    <x:row r="284">
      <x:c r="A284" t="str">
        <x:v>ORD-10283</x:v>
      </x:c>
      <x:c r="B284" s="8" t="n">
        <x:v>45850</x:v>
      </x:c>
      <x:c r="C284" t="n">
        <x:v>2025</x:v>
      </x:c>
      <x:c r="D284" t="str">
        <x:v>Brazil</x:v>
      </x:c>
      <x:c r="E284" t="str">
        <x:v>South America</x:v>
      </x:c>
      <x:c r="F284" t="str">
        <x:v>Technology</x:v>
      </x:c>
      <x:c r="G284" t="str">
        <x:v>Monitor</x:v>
      </x:c>
      <x:c r="H284" t="str">
        <x:v>Home Office</x:v>
      </x:c>
      <x:c r="I284" t="n">
        <x:v>24</x:v>
      </x:c>
      <x:c r="J284" s="10" t="n">
        <x:v>10939.46</x:v>
      </x:c>
      <x:c r="K284" s="10" t="n">
        <x:v>7530.58</x:v>
      </x:c>
      <x:c r="L284" s="10" t="n">
        <x:v>3408.88</x:v>
      </x:c>
      <x:c r="M284" s="12" t="n">
        <x:v>0.31161307887794965</x:v>
      </x:c>
    </x:row>
    <x:row r="285">
      <x:c r="A285" t="str">
        <x:v>ORD-10284</x:v>
      </x:c>
      <x:c r="B285" s="8" t="n">
        <x:v>45896</x:v>
      </x:c>
      <x:c r="C285" t="n">
        <x:v>2025</x:v>
      </x:c>
      <x:c r="D285" t="str">
        <x:v>Brazil</x:v>
      </x:c>
      <x:c r="E285" t="str">
        <x:v>South America</x:v>
      </x:c>
      <x:c r="F285" t="str">
        <x:v>Technology</x:v>
      </x:c>
      <x:c r="G285" t="str">
        <x:v>Smartphone</x:v>
      </x:c>
      <x:c r="H285" t="str">
        <x:v>Consumer</x:v>
      </x:c>
      <x:c r="I285" t="n">
        <x:v>70</x:v>
      </x:c>
      <x:c r="J285" s="10" t="n">
        <x:v>32899.43</x:v>
      </x:c>
      <x:c r="K285" s="10" t="n">
        <x:v>21904.92</x:v>
      </x:c>
      <x:c r="L285" s="10" t="n">
        <x:v>10994.51</x:v>
      </x:c>
      <x:c r="M285" s="12" t="n">
        <x:v>0.3341853952903267</x:v>
      </x:c>
    </x:row>
    <x:row r="286">
      <x:c r="A286" t="str">
        <x:v>ORD-10285</x:v>
      </x:c>
      <x:c r="B286" s="8" t="n">
        <x:v>45908</x:v>
      </x:c>
      <x:c r="C286" t="n">
        <x:v>2025</x:v>
      </x:c>
      <x:c r="D286" t="str">
        <x:v>Brazil</x:v>
      </x:c>
      <x:c r="E286" t="str">
        <x:v>South America</x:v>
      </x:c>
      <x:c r="F286" t="str">
        <x:v>Technology</x:v>
      </x:c>
      <x:c r="G286" t="str">
        <x:v>Smartphone</x:v>
      </x:c>
      <x:c r="H286" t="str">
        <x:v>Corporate</x:v>
      </x:c>
      <x:c r="I286" t="n">
        <x:v>36</x:v>
      </x:c>
      <x:c r="J286" s="10" t="n">
        <x:v>13629.16</x:v>
      </x:c>
      <x:c r="K286" s="10" t="n">
        <x:v>8965.69</x:v>
      </x:c>
      <x:c r="L286" s="10" t="n">
        <x:v>4663.47</x:v>
      </x:c>
      <x:c r="M286" s="12" t="n">
        <x:v>0.3421685403966892</x:v>
      </x:c>
    </x:row>
    <x:row r="287">
      <x:c r="A287" t="str">
        <x:v>ORD-10286</x:v>
      </x:c>
      <x:c r="B287" s="8" t="n">
        <x:v>45939</x:v>
      </x:c>
      <x:c r="C287" t="n">
        <x:v>2025</x:v>
      </x:c>
      <x:c r="D287" t="str">
        <x:v>Brazil</x:v>
      </x:c>
      <x:c r="E287" t="str">
        <x:v>South America</x:v>
      </x:c>
      <x:c r="F287" t="str">
        <x:v>Furniture</x:v>
      </x:c>
      <x:c r="G287" t="str">
        <x:v>Bookshelf</x:v>
      </x:c>
      <x:c r="H287" t="str">
        <x:v>Consumer</x:v>
      </x:c>
      <x:c r="I287" t="n">
        <x:v>47</x:v>
      </x:c>
      <x:c r="J287" s="10" t="n">
        <x:v>11282.96</x:v>
      </x:c>
      <x:c r="K287" s="10" t="n">
        <x:v>8070</x:v>
      </x:c>
      <x:c r="L287" s="10" t="n">
        <x:v>3212.96</x:v>
      </x:c>
      <x:c r="M287" s="12" t="n">
        <x:v>0.28476219524518376</x:v>
      </x:c>
    </x:row>
    <x:row r="288">
      <x:c r="A288" t="str">
        <x:v>ORD-10287</x:v>
      </x:c>
      <x:c r="B288" s="8" t="n">
        <x:v>45980</x:v>
      </x:c>
      <x:c r="C288" t="n">
        <x:v>2025</x:v>
      </x:c>
      <x:c r="D288" t="str">
        <x:v>Brazil</x:v>
      </x:c>
      <x:c r="E288" t="str">
        <x:v>South America</x:v>
      </x:c>
      <x:c r="F288" t="str">
        <x:v>Technology</x:v>
      </x:c>
      <x:c r="G288" t="str">
        <x:v>Monitor</x:v>
      </x:c>
      <x:c r="H288" t="str">
        <x:v>Home Office</x:v>
      </x:c>
      <x:c r="I288" t="n">
        <x:v>83</x:v>
      </x:c>
      <x:c r="J288" s="10" t="n">
        <x:v>29897.49</x:v>
      </x:c>
      <x:c r="K288" s="10" t="n">
        <x:v>20721.4</x:v>
      </x:c>
      <x:c r="L288" s="10" t="n">
        <x:v>9176.09</x:v>
      </x:c>
      <x:c r="M288" s="12" t="n">
        <x:v>0.306918491275879</x:v>
      </x:c>
    </x:row>
    <x:row r="289">
      <x:c r="A289" t="str">
        <x:v>ORD-10288</x:v>
      </x:c>
      <x:c r="B289" s="8" t="n">
        <x:v>46002</x:v>
      </x:c>
      <x:c r="C289" t="n">
        <x:v>2025</x:v>
      </x:c>
      <x:c r="D289" t="str">
        <x:v>Brazil</x:v>
      </x:c>
      <x:c r="E289" t="str">
        <x:v>South America</x:v>
      </x:c>
      <x:c r="F289" t="str">
        <x:v>Office Supplies</x:v>
      </x:c>
      <x:c r="G289" t="str">
        <x:v>Pens</x:v>
      </x:c>
      <x:c r="H289" t="str">
        <x:v>Consumer</x:v>
      </x:c>
      <x:c r="I289" t="n">
        <x:v>99</x:v>
      </x:c>
      <x:c r="J289" s="10" t="n">
        <x:v>8885.26</x:v>
      </x:c>
      <x:c r="K289" s="10" t="n">
        <x:v>6768.43</x:v>
      </x:c>
      <x:c r="L289" s="10" t="n">
        <x:v>2116.82</x:v>
      </x:c>
      <x:c r="M289" s="12" t="n">
        <x:v>0.2382401072428873</x:v>
      </x:c>
    </x:row>
    <x:row r="290">
      <x:c r="A290" t="str">
        <x:v>ORD-10289</x:v>
      </x:c>
      <x:c r="B290" s="8" t="n">
        <x:v>45676</x:v>
      </x:c>
      <x:c r="C290" t="n">
        <x:v>2025</x:v>
      </x:c>
      <x:c r="D290" t="str">
        <x:v>Argentina</x:v>
      </x:c>
      <x:c r="E290" t="str">
        <x:v>South America</x:v>
      </x:c>
      <x:c r="F290" t="str">
        <x:v>Office Supplies</x:v>
      </x:c>
      <x:c r="G290" t="str">
        <x:v>Printer Paper</x:v>
      </x:c>
      <x:c r="H290" t="str">
        <x:v>Consumer</x:v>
      </x:c>
      <x:c r="I290" t="n">
        <x:v>25</x:v>
      </x:c>
      <x:c r="J290" s="10" t="n">
        <x:v>803.02</x:v>
      </x:c>
      <x:c r="K290" s="10" t="n">
        <x:v>668.94</x:v>
      </x:c>
      <x:c r="L290" s="10" t="n">
        <x:v>134.08</x:v>
      </x:c>
      <x:c r="M290" s="12" t="n">
        <x:v>0.1669744480589233</x:v>
      </x:c>
    </x:row>
    <x:row r="291">
      <x:c r="A291" t="str">
        <x:v>ORD-10290</x:v>
      </x:c>
      <x:c r="B291" s="8" t="n">
        <x:v>45709</x:v>
      </x:c>
      <x:c r="C291" t="n">
        <x:v>2025</x:v>
      </x:c>
      <x:c r="D291" t="str">
        <x:v>Argentina</x:v>
      </x:c>
      <x:c r="E291" t="str">
        <x:v>South America</x:v>
      </x:c>
      <x:c r="F291" t="str">
        <x:v>Furniture</x:v>
      </x:c>
      <x:c r="G291" t="str">
        <x:v>Desk</x:v>
      </x:c>
      <x:c r="H291" t="str">
        <x:v>Home Office</x:v>
      </x:c>
      <x:c r="I291" t="n">
        <x:v>68</x:v>
      </x:c>
      <x:c r="J291" s="10" t="n">
        <x:v>10919.11</x:v>
      </x:c>
      <x:c r="K291" s="10" t="n">
        <x:v>9459.94</x:v>
      </x:c>
      <x:c r="L291" s="10" t="n">
        <x:v>1459.17</x:v>
      </x:c>
      <x:c r="M291" s="12" t="n">
        <x:v>0.1336343078297717</x:v>
      </x:c>
    </x:row>
    <x:row r="292">
      <x:c r="A292" t="str">
        <x:v>ORD-10291</x:v>
      </x:c>
      <x:c r="B292" s="8" t="n">
        <x:v>45738</x:v>
      </x:c>
      <x:c r="C292" t="n">
        <x:v>2025</x:v>
      </x:c>
      <x:c r="D292" t="str">
        <x:v>Argentina</x:v>
      </x:c>
      <x:c r="E292" t="str">
        <x:v>South America</x:v>
      </x:c>
      <x:c r="F292" t="str">
        <x:v>Office Supplies</x:v>
      </x:c>
      <x:c r="G292" t="str">
        <x:v>Binders</x:v>
      </x:c>
      <x:c r="H292" t="str">
        <x:v>Home Office</x:v>
      </x:c>
      <x:c r="I292" t="n">
        <x:v>53</x:v>
      </x:c>
      <x:c r="J292" s="10" t="n">
        <x:v>2277.32</x:v>
      </x:c>
      <x:c r="K292" s="10" t="n">
        <x:v>1852.46</x:v>
      </x:c>
      <x:c r="L292" s="10" t="n">
        <x:v>424.86</x:v>
      </x:c>
      <x:c r="M292" s="12" t="n">
        <x:v>0.186562578505888</x:v>
      </x:c>
    </x:row>
    <x:row r="293">
      <x:c r="A293" t="str">
        <x:v>ORD-10292</x:v>
      </x:c>
      <x:c r="B293" s="8" t="n">
        <x:v>45761</x:v>
      </x:c>
      <x:c r="C293" t="n">
        <x:v>2025</x:v>
      </x:c>
      <x:c r="D293" t="str">
        <x:v>Argentina</x:v>
      </x:c>
      <x:c r="E293" t="str">
        <x:v>South America</x:v>
      </x:c>
      <x:c r="F293" t="str">
        <x:v>Furniture</x:v>
      </x:c>
      <x:c r="G293" t="str">
        <x:v>Bookshelf</x:v>
      </x:c>
      <x:c r="H293" t="str">
        <x:v>Corporate</x:v>
      </x:c>
      <x:c r="I293" t="n">
        <x:v>24</x:v>
      </x:c>
      <x:c r="J293" s="10" t="n">
        <x:v>3999.25</x:v>
      </x:c>
      <x:c r="K293" s="10" t="n">
        <x:v>3403.48</x:v>
      </x:c>
      <x:c r="L293" s="10" t="n">
        <x:v>595.77</x:v>
      </x:c>
      <x:c r="M293" s="12" t="n">
        <x:v>0.14896965364182496</x:v>
      </x:c>
    </x:row>
    <x:row r="294">
      <x:c r="A294" t="str">
        <x:v>ORD-10293</x:v>
      </x:c>
      <x:c r="B294" s="8" t="n">
        <x:v>45800</x:v>
      </x:c>
      <x:c r="C294" t="n">
        <x:v>2025</x:v>
      </x:c>
      <x:c r="D294" t="str">
        <x:v>Argentina</x:v>
      </x:c>
      <x:c r="E294" t="str">
        <x:v>South America</x:v>
      </x:c>
      <x:c r="F294" t="str">
        <x:v>Furniture</x:v>
      </x:c>
      <x:c r="G294" t="str">
        <x:v>Storage Cabinet</x:v>
      </x:c>
      <x:c r="H294" t="str">
        <x:v>Consumer</x:v>
      </x:c>
      <x:c r="I294" t="n">
        <x:v>58</x:v>
      </x:c>
      <x:c r="J294" s="10" t="n">
        <x:v>9256.28</x:v>
      </x:c>
      <x:c r="K294" s="10" t="n">
        <x:v>7705.76</x:v>
      </x:c>
      <x:c r="L294" s="10" t="n">
        <x:v>1550.52</x:v>
      </x:c>
      <x:c r="M294" s="12" t="n">
        <x:v>0.16750989990963194</x:v>
      </x:c>
    </x:row>
    <x:row r="295">
      <x:c r="A295" t="str">
        <x:v>ORD-10294</x:v>
      </x:c>
      <x:c r="B295" s="8" t="n">
        <x:v>45812</x:v>
      </x:c>
      <x:c r="C295" t="n">
        <x:v>2025</x:v>
      </x:c>
      <x:c r="D295" t="str">
        <x:v>Argentina</x:v>
      </x:c>
      <x:c r="E295" t="str">
        <x:v>South America</x:v>
      </x:c>
      <x:c r="F295" t="str">
        <x:v>Furniture</x:v>
      </x:c>
      <x:c r="G295" t="str">
        <x:v>Bookshelf</x:v>
      </x:c>
      <x:c r="H295" t="str">
        <x:v>Corporate</x:v>
      </x:c>
      <x:c r="I295" t="n">
        <x:v>31</x:v>
      </x:c>
      <x:c r="J295" s="10" t="n">
        <x:v>5357.69</x:v>
      </x:c>
      <x:c r="K295" s="10" t="n">
        <x:v>4330.1</x:v>
      </x:c>
      <x:c r="L295" s="10" t="n">
        <x:v>1027.59</x:v>
      </x:c>
      <x:c r="M295" s="12" t="n">
        <x:v>0.19179761608986667</x:v>
      </x:c>
    </x:row>
    <x:row r="296">
      <x:c r="A296" t="str">
        <x:v>ORD-10295</x:v>
      </x:c>
      <x:c r="B296" s="8" t="n">
        <x:v>45842</x:v>
      </x:c>
      <x:c r="C296" t="n">
        <x:v>2025</x:v>
      </x:c>
      <x:c r="D296" t="str">
        <x:v>Argentina</x:v>
      </x:c>
      <x:c r="E296" t="str">
        <x:v>South America</x:v>
      </x:c>
      <x:c r="F296" t="str">
        <x:v>Furniture</x:v>
      </x:c>
      <x:c r="G296" t="str">
        <x:v>Desk</x:v>
      </x:c>
      <x:c r="H296" t="str">
        <x:v>Corporate</x:v>
      </x:c>
      <x:c r="I296" t="n">
        <x:v>30</x:v>
      </x:c>
      <x:c r="J296" s="10" t="n">
        <x:v>3913.07</x:v>
      </x:c>
      <x:c r="K296" s="10" t="n">
        <x:v>3287.96</x:v>
      </x:c>
      <x:c r="L296" s="10" t="n">
        <x:v>625.11</x:v>
      </x:c>
      <x:c r="M296" s="12" t="n">
        <x:v>0.1597502659030655</x:v>
      </x:c>
    </x:row>
    <x:row r="297">
      <x:c r="A297" t="str">
        <x:v>ORD-10296</x:v>
      </x:c>
      <x:c r="B297" s="8" t="n">
        <x:v>45875</x:v>
      </x:c>
      <x:c r="C297" t="n">
        <x:v>2025</x:v>
      </x:c>
      <x:c r="D297" t="str">
        <x:v>Argentina</x:v>
      </x:c>
      <x:c r="E297" t="str">
        <x:v>South America</x:v>
      </x:c>
      <x:c r="F297" t="str">
        <x:v>Technology</x:v>
      </x:c>
      <x:c r="G297" t="str">
        <x:v>Monitor</x:v>
      </x:c>
      <x:c r="H297" t="str">
        <x:v>Corporate</x:v>
      </x:c>
      <x:c r="I297" t="n">
        <x:v>93</x:v>
      </x:c>
      <x:c r="J297" s="10" t="n">
        <x:v>21541.02</x:v>
      </x:c>
      <x:c r="K297" s="10" t="n">
        <x:v>14959.76</x:v>
      </x:c>
      <x:c r="L297" s="10" t="n">
        <x:v>6581.26</x:v>
      </x:c>
      <x:c r="M297" s="12" t="n">
        <x:v>0.30552230226872035</x:v>
      </x:c>
    </x:row>
    <x:row r="298">
      <x:c r="A298" t="str">
        <x:v>ORD-10297</x:v>
      </x:c>
      <x:c r="B298" s="8" t="n">
        <x:v>45915</x:v>
      </x:c>
      <x:c r="C298" t="n">
        <x:v>2025</x:v>
      </x:c>
      <x:c r="D298" t="str">
        <x:v>Argentina</x:v>
      </x:c>
      <x:c r="E298" t="str">
        <x:v>South America</x:v>
      </x:c>
      <x:c r="F298" t="str">
        <x:v>Furniture</x:v>
      </x:c>
      <x:c r="G298" t="str">
        <x:v>Bookshelf</x:v>
      </x:c>
      <x:c r="H298" t="str">
        <x:v>Consumer</x:v>
      </x:c>
      <x:c r="I298" t="n">
        <x:v>112</x:v>
      </x:c>
      <x:c r="J298" s="10" t="n">
        <x:v>13567.84</x:v>
      </x:c>
      <x:c r="K298" s="10" t="n">
        <x:v>10182.44</x:v>
      </x:c>
      <x:c r="L298" s="10" t="n">
        <x:v>3385.4</x:v>
      </x:c>
      <x:c r="M298" s="12" t="n">
        <x:v>0.24951632933145</x:v>
      </x:c>
    </x:row>
    <x:row r="299">
      <x:c r="A299" t="str">
        <x:v>ORD-10298</x:v>
      </x:c>
      <x:c r="B299" s="8" t="n">
        <x:v>45945</x:v>
      </x:c>
      <x:c r="C299" t="n">
        <x:v>2025</x:v>
      </x:c>
      <x:c r="D299" t="str">
        <x:v>Argentina</x:v>
      </x:c>
      <x:c r="E299" t="str">
        <x:v>South America</x:v>
      </x:c>
      <x:c r="F299" t="str">
        <x:v>Furniture</x:v>
      </x:c>
      <x:c r="G299" t="str">
        <x:v>Bookshelf</x:v>
      </x:c>
      <x:c r="H299" t="str">
        <x:v>Corporate</x:v>
      </x:c>
      <x:c r="I299" t="n">
        <x:v>17</x:v>
      </x:c>
      <x:c r="J299" s="10" t="n">
        <x:v>1958.15</x:v>
      </x:c>
      <x:c r="K299" s="10" t="n">
        <x:v>1611.19</x:v>
      </x:c>
      <x:c r="L299" s="10" t="n">
        <x:v>346.96</x:v>
      </x:c>
      <x:c r="M299" s="12" t="n">
        <x:v>0.17718906209359567</x:v>
      </x:c>
    </x:row>
    <x:row r="300">
      <x:c r="A300" t="str">
        <x:v>ORD-10299</x:v>
      </x:c>
      <x:c r="B300" s="8" t="n">
        <x:v>45981</x:v>
      </x:c>
      <x:c r="C300" t="n">
        <x:v>2025</x:v>
      </x:c>
      <x:c r="D300" t="str">
        <x:v>Argentina</x:v>
      </x:c>
      <x:c r="E300" t="str">
        <x:v>South America</x:v>
      </x:c>
      <x:c r="F300" t="str">
        <x:v>Technology</x:v>
      </x:c>
      <x:c r="G300" t="str">
        <x:v>Smartphone</x:v>
      </x:c>
      <x:c r="H300" t="str">
        <x:v>Home Office</x:v>
      </x:c>
      <x:c r="I300" t="n">
        <x:v>60</x:v>
      </x:c>
      <x:c r="J300" s="10" t="n">
        <x:v>10819.28</x:v>
      </x:c>
      <x:c r="K300" s="10" t="n">
        <x:v>8398.33</x:v>
      </x:c>
      <x:c r="L300" s="10" t="n">
        <x:v>2420.95</x:v>
      </x:c>
      <x:c r="M300" s="12" t="n">
        <x:v>0.22376276060482336</x:v>
      </x:c>
    </x:row>
    <x:row r="301">
      <x:c r="A301" t="str">
        <x:v>ORD-10300</x:v>
      </x:c>
      <x:c r="B301" s="8" t="n">
        <x:v>45996</x:v>
      </x:c>
      <x:c r="C301" t="n">
        <x:v>2025</x:v>
      </x:c>
      <x:c r="D301" t="str">
        <x:v>Argentina</x:v>
      </x:c>
      <x:c r="E301" t="str">
        <x:v>South America</x:v>
      </x:c>
      <x:c r="F301" t="str">
        <x:v>Office Supplies</x:v>
      </x:c>
      <x:c r="G301" t="str">
        <x:v>Desk Organizer</x:v>
      </x:c>
      <x:c r="H301" t="str">
        <x:v>Corporate</x:v>
      </x:c>
      <x:c r="I301" t="n">
        <x:v>83</x:v>
      </x:c>
      <x:c r="J301" s="10" t="n">
        <x:v>2589.31</x:v>
      </x:c>
      <x:c r="K301" s="10" t="n">
        <x:v>2322.87</x:v>
      </x:c>
      <x:c r="L301" s="10" t="n">
        <x:v>266.44</x:v>
      </x:c>
      <x:c r="M301" s="12" t="n">
        <x:v>0.102899650124545</x:v>
      </x:c>
    </x:row>
    <x:row r="302">
      <x:c r="A302" t="str">
        <x:v>ORD-10301</x:v>
      </x:c>
      <x:c r="B302" s="8" t="n">
        <x:v>45675</x:v>
      </x:c>
      <x:c r="C302" t="n">
        <x:v>2025</x:v>
      </x:c>
      <x:c r="D302" t="str">
        <x:v>United Kingdom</x:v>
      </x:c>
      <x:c r="E302" t="str">
        <x:v>Europe</x:v>
      </x:c>
      <x:c r="F302" t="str">
        <x:v>Furniture</x:v>
      </x:c>
      <x:c r="G302" t="str">
        <x:v>Bookshelf</x:v>
      </x:c>
      <x:c r="H302" t="str">
        <x:v>Corporate</x:v>
      </x:c>
      <x:c r="I302" t="n">
        <x:v>61</x:v>
      </x:c>
      <x:c r="J302" s="10" t="n">
        <x:v>15382.26</x:v>
      </x:c>
      <x:c r="K302" s="10" t="n">
        <x:v>12672.84</x:v>
      </x:c>
      <x:c r="L302" s="10" t="n">
        <x:v>2709.41</x:v>
      </x:c>
      <x:c r="M302" s="12" t="n">
        <x:v>0.17613892248596102</x:v>
      </x:c>
    </x:row>
    <x:row r="303">
      <x:c r="A303" t="str">
        <x:v>ORD-10302</x:v>
      </x:c>
      <x:c r="B303" s="8" t="n">
        <x:v>45713</x:v>
      </x:c>
      <x:c r="C303" t="n">
        <x:v>2025</x:v>
      </x:c>
      <x:c r="D303" t="str">
        <x:v>United Kingdom</x:v>
      </x:c>
      <x:c r="E303" t="str">
        <x:v>Europe</x:v>
      </x:c>
      <x:c r="F303" t="str">
        <x:v>Technology</x:v>
      </x:c>
      <x:c r="G303" t="str">
        <x:v>Monitor</x:v>
      </x:c>
      <x:c r="H303" t="str">
        <x:v>Home Office</x:v>
      </x:c>
      <x:c r="I303" t="n">
        <x:v>51</x:v>
      </x:c>
      <x:c r="J303" s="10" t="n">
        <x:v>21228.52</x:v>
      </x:c>
      <x:c r="K303" s="10" t="n">
        <x:v>15061.41</x:v>
      </x:c>
      <x:c r="L303" s="10" t="n">
        <x:v>6167.11</x:v>
      </x:c>
      <x:c r="M303" s="12" t="n">
        <x:v>0.2905106634947845</x:v>
      </x:c>
    </x:row>
    <x:row r="304">
      <x:c r="A304" t="str">
        <x:v>ORD-10303</x:v>
      </x:c>
      <x:c r="B304" s="8" t="n">
        <x:v>45720</x:v>
      </x:c>
      <x:c r="C304" t="n">
        <x:v>2025</x:v>
      </x:c>
      <x:c r="D304" t="str">
        <x:v>United Kingdom</x:v>
      </x:c>
      <x:c r="E304" t="str">
        <x:v>Europe</x:v>
      </x:c>
      <x:c r="F304" t="str">
        <x:v>Office Supplies</x:v>
      </x:c>
      <x:c r="G304" t="str">
        <x:v>Binders</x:v>
      </x:c>
      <x:c r="H304" t="str">
        <x:v>Home Office</x:v>
      </x:c>
      <x:c r="I304" t="n">
        <x:v>102</x:v>
      </x:c>
      <x:c r="J304" s="10" t="n">
        <x:v>10660.65</x:v>
      </x:c>
      <x:c r="K304" s="10" t="n">
        <x:v>9110.17</x:v>
      </x:c>
      <x:c r="L304" s="10" t="n">
        <x:v>1550.48</x:v>
      </x:c>
      <x:c r="M304" s="12" t="n">
        <x:v>0.1454396068827058</x:v>
      </x:c>
    </x:row>
    <x:row r="305">
      <x:c r="A305" t="str">
        <x:v>ORD-10304</x:v>
      </x:c>
      <x:c r="B305" s="8" t="n">
        <x:v>45754</x:v>
      </x:c>
      <x:c r="C305" t="n">
        <x:v>2025</x:v>
      </x:c>
      <x:c r="D305" t="str">
        <x:v>United Kingdom</x:v>
      </x:c>
      <x:c r="E305" t="str">
        <x:v>Europe</x:v>
      </x:c>
      <x:c r="F305" t="str">
        <x:v>Furniture</x:v>
      </x:c>
      <x:c r="G305" t="str">
        <x:v>Bookshelf</x:v>
      </x:c>
      <x:c r="H305" t="str">
        <x:v>Corporate</x:v>
      </x:c>
      <x:c r="I305" t="n">
        <x:v>86</x:v>
      </x:c>
      <x:c r="J305" s="10" t="n">
        <x:v>36649.93</x:v>
      </x:c>
      <x:c r="K305" s="10" t="n">
        <x:v>27099.11</x:v>
      </x:c>
      <x:c r="L305" s="10" t="n">
        <x:v>9550.82</x:v>
      </x:c>
      <x:c r="M305" s="12" t="n">
        <x:v>0.26059582067513537</x:v>
      </x:c>
    </x:row>
    <x:row r="306">
      <x:c r="A306" t="str">
        <x:v>ORD-10305</x:v>
      </x:c>
      <x:c r="B306" s="8" t="n">
        <x:v>45788</x:v>
      </x:c>
      <x:c r="C306" t="n">
        <x:v>2025</x:v>
      </x:c>
      <x:c r="D306" t="str">
        <x:v>United Kingdom</x:v>
      </x:c>
      <x:c r="E306" t="str">
        <x:v>Europe</x:v>
      </x:c>
      <x:c r="F306" t="str">
        <x:v>Office Supplies</x:v>
      </x:c>
      <x:c r="G306" t="str">
        <x:v>Desk Organizer</x:v>
      </x:c>
      <x:c r="H306" t="str">
        <x:v>Home Office</x:v>
      </x:c>
      <x:c r="I306" t="n">
        <x:v>20</x:v>
      </x:c>
      <x:c r="J306" s="10" t="n">
        <x:v>1454.88</x:v>
      </x:c>
      <x:c r="K306" s="10" t="n">
        <x:v>1241.83</x:v>
      </x:c>
      <x:c r="L306" s="10" t="n">
        <x:v>213.06</x:v>
      </x:c>
      <x:c r="M306" s="12" t="n">
        <x:v>0.1464443648281025</x:v>
      </x:c>
    </x:row>
    <x:row r="307">
      <x:c r="A307" t="str">
        <x:v>ORD-10306</x:v>
      </x:c>
      <x:c r="B307" s="8" t="n">
        <x:v>45828</x:v>
      </x:c>
      <x:c r="C307" t="n">
        <x:v>2025</x:v>
      </x:c>
      <x:c r="D307" t="str">
        <x:v>United Kingdom</x:v>
      </x:c>
      <x:c r="E307" t="str">
        <x:v>Europe</x:v>
      </x:c>
      <x:c r="F307" t="str">
        <x:v>Furniture</x:v>
      </x:c>
      <x:c r="G307" t="str">
        <x:v>Storage Cabinet</x:v>
      </x:c>
      <x:c r="H307" t="str">
        <x:v>Consumer</x:v>
      </x:c>
      <x:c r="I307" t="n">
        <x:v>92</x:v>
      </x:c>
      <x:c r="J307" s="10" t="n">
        <x:v>38386.27</x:v>
      </x:c>
      <x:c r="K307" s="10" t="n">
        <x:v>31216.72</x:v>
      </x:c>
      <x:c r="L307" s="10" t="n">
        <x:v>7169.55</x:v>
      </x:c>
      <x:c r="M307" s="12" t="n">
        <x:v>0.18677371829268263</x:v>
      </x:c>
    </x:row>
    <x:row r="308">
      <x:c r="A308" t="str">
        <x:v>ORD-10307</x:v>
      </x:c>
      <x:c r="B308" s="8" t="n">
        <x:v>45849</x:v>
      </x:c>
      <x:c r="C308" t="n">
        <x:v>2025</x:v>
      </x:c>
      <x:c r="D308" t="str">
        <x:v>United Kingdom</x:v>
      </x:c>
      <x:c r="E308" t="str">
        <x:v>Europe</x:v>
      </x:c>
      <x:c r="F308" t="str">
        <x:v>Furniture</x:v>
      </x:c>
      <x:c r="G308" t="str">
        <x:v>Desk</x:v>
      </x:c>
      <x:c r="H308" t="str">
        <x:v>Corporate</x:v>
      </x:c>
      <x:c r="I308" t="n">
        <x:v>93</x:v>
      </x:c>
      <x:c r="J308" s="10" t="n">
        <x:v>36018.58</x:v>
      </x:c>
      <x:c r="K308" s="10" t="n">
        <x:v>28602.07</x:v>
      </x:c>
      <x:c r="L308" s="10" t="n">
        <x:v>7416.52</x:v>
      </x:c>
      <x:c r="M308" s="12" t="n">
        <x:v>0.20590812110339818</x:v>
      </x:c>
    </x:row>
    <x:row r="309">
      <x:c r="A309" t="str">
        <x:v>ORD-10308</x:v>
      </x:c>
      <x:c r="B309" s="8" t="n">
        <x:v>45881</x:v>
      </x:c>
      <x:c r="C309" t="n">
        <x:v>2025</x:v>
      </x:c>
      <x:c r="D309" t="str">
        <x:v>United Kingdom</x:v>
      </x:c>
      <x:c r="E309" t="str">
        <x:v>Europe</x:v>
      </x:c>
      <x:c r="F309" t="str">
        <x:v>Office Supplies</x:v>
      </x:c>
      <x:c r="G309" t="str">
        <x:v>Desk Organizer</x:v>
      </x:c>
      <x:c r="H309" t="str">
        <x:v>Home Office</x:v>
      </x:c>
      <x:c r="I309" t="n">
        <x:v>87</x:v>
      </x:c>
      <x:c r="J309" s="10" t="n">
        <x:v>7572.15</x:v>
      </x:c>
      <x:c r="K309" s="10" t="n">
        <x:v>5846.54</x:v>
      </x:c>
      <x:c r="L309" s="10" t="n">
        <x:v>1725.62</x:v>
      </x:c>
      <x:c r="M309" s="12" t="n">
        <x:v>0.22788985998925887</x:v>
      </x:c>
    </x:row>
    <x:row r="310">
      <x:c r="A310" t="str">
        <x:v>ORD-10309</x:v>
      </x:c>
      <x:c r="B310" s="8" t="n">
        <x:v>45928</x:v>
      </x:c>
      <x:c r="C310" t="n">
        <x:v>2025</x:v>
      </x:c>
      <x:c r="D310" t="str">
        <x:v>United Kingdom</x:v>
      </x:c>
      <x:c r="E310" t="str">
        <x:v>Europe</x:v>
      </x:c>
      <x:c r="F310" t="str">
        <x:v>Furniture</x:v>
      </x:c>
      <x:c r="G310" t="str">
        <x:v>Office Chair</x:v>
      </x:c>
      <x:c r="H310" t="str">
        <x:v>Corporate</x:v>
      </x:c>
      <x:c r="I310" t="n">
        <x:v>89</x:v>
      </x:c>
      <x:c r="J310" s="10" t="n">
        <x:v>26990.25</x:v>
      </x:c>
      <x:c r="K310" s="10" t="n">
        <x:v>19490.95</x:v>
      </x:c>
      <x:c r="L310" s="10" t="n">
        <x:v>7499.3</x:v>
      </x:c>
      <x:c r="M310" s="12" t="n">
        <x:v>0.27785205250262396</x:v>
      </x:c>
    </x:row>
    <x:row r="311">
      <x:c r="A311" t="str">
        <x:v>ORD-10310</x:v>
      </x:c>
      <x:c r="B311" s="8" t="n">
        <x:v>45955</x:v>
      </x:c>
      <x:c r="C311" t="n">
        <x:v>2025</x:v>
      </x:c>
      <x:c r="D311" t="str">
        <x:v>United Kingdom</x:v>
      </x:c>
      <x:c r="E311" t="str">
        <x:v>Europe</x:v>
      </x:c>
      <x:c r="F311" t="str">
        <x:v>Office Supplies</x:v>
      </x:c>
      <x:c r="G311" t="str">
        <x:v>Printer Paper</x:v>
      </x:c>
      <x:c r="H311" t="str">
        <x:v>Home Office</x:v>
      </x:c>
      <x:c r="I311" t="n">
        <x:v>75</x:v>
      </x:c>
      <x:c r="J311" s="10" t="n">
        <x:v>6383.41</x:v>
      </x:c>
      <x:c r="K311" s="10" t="n">
        <x:v>5051.38</x:v>
      </x:c>
      <x:c r="L311" s="10" t="n">
        <x:v>1332.03</x:v>
      </x:c>
      <x:c r="M311" s="12" t="n">
        <x:v>0.20867091666123633</x:v>
      </x:c>
    </x:row>
    <x:row r="312">
      <x:c r="A312" t="str">
        <x:v>ORD-10311</x:v>
      </x:c>
      <x:c r="B312" s="8" t="n">
        <x:v>45982</x:v>
      </x:c>
      <x:c r="C312" t="n">
        <x:v>2025</x:v>
      </x:c>
      <x:c r="D312" t="str">
        <x:v>United Kingdom</x:v>
      </x:c>
      <x:c r="E312" t="str">
        <x:v>Europe</x:v>
      </x:c>
      <x:c r="F312" t="str">
        <x:v>Office Supplies</x:v>
      </x:c>
      <x:c r="G312" t="str">
        <x:v>Pens</x:v>
      </x:c>
      <x:c r="H312" t="str">
        <x:v>Home Office</x:v>
      </x:c>
      <x:c r="I312" t="n">
        <x:v>21</x:v>
      </x:c>
      <x:c r="J312" s="10" t="n">
        <x:v>2162.38</x:v>
      </x:c>
      <x:c r="K312" s="10" t="n">
        <x:v>1837.03</x:v>
      </x:c>
      <x:c r="L312" s="10" t="n">
        <x:v>325.36</x:v>
      </x:c>
      <x:c r="M312" s="12" t="n">
        <x:v>0.15046144740959908</x:v>
      </x:c>
    </x:row>
    <x:row r="313">
      <x:c r="A313" t="str">
        <x:v>ORD-10312</x:v>
      </x:c>
      <x:c r="B313" s="8" t="n">
        <x:v>46014</x:v>
      </x:c>
      <x:c r="C313" t="n">
        <x:v>2025</x:v>
      </x:c>
      <x:c r="D313" t="str">
        <x:v>United Kingdom</x:v>
      </x:c>
      <x:c r="E313" t="str">
        <x:v>Europe</x:v>
      </x:c>
      <x:c r="F313" t="str">
        <x:v>Office Supplies</x:v>
      </x:c>
      <x:c r="G313" t="str">
        <x:v>Desk Organizer</x:v>
      </x:c>
      <x:c r="H313" t="str">
        <x:v>Consumer</x:v>
      </x:c>
      <x:c r="I313" t="n">
        <x:v>120</x:v>
      </x:c>
      <x:c r="J313" s="10" t="n">
        <x:v>13011.55</x:v>
      </x:c>
      <x:c r="K313" s="10" t="n">
        <x:v>11270.76</x:v>
      </x:c>
      <x:c r="L313" s="10" t="n">
        <x:v>1740.8</x:v>
      </x:c>
      <x:c r="M313" s="12" t="n">
        <x:v>0.1337884616010519</x:v>
      </x:c>
    </x:row>
    <x:row r="314">
      <x:c r="A314" t="str">
        <x:v>ORD-10313</x:v>
      </x:c>
      <x:c r="B314" s="8" t="n">
        <x:v>45680</x:v>
      </x:c>
      <x:c r="C314" t="n">
        <x:v>2025</x:v>
      </x:c>
      <x:c r="D314" t="str">
        <x:v>Germany</x:v>
      </x:c>
      <x:c r="E314" t="str">
        <x:v>Europe</x:v>
      </x:c>
      <x:c r="F314" t="str">
        <x:v>Technology</x:v>
      </x:c>
      <x:c r="G314" t="str">
        <x:v>Smartphone</x:v>
      </x:c>
      <x:c r="H314" t="str">
        <x:v>Consumer</x:v>
      </x:c>
      <x:c r="I314" t="n">
        <x:v>71</x:v>
      </x:c>
      <x:c r="J314" s="10" t="n">
        <x:v>36720.58</x:v>
      </x:c>
      <x:c r="K314" s="10" t="n">
        <x:v>27607.57</x:v>
      </x:c>
      <x:c r="L314" s="10" t="n">
        <x:v>9113.01</x:v>
      </x:c>
      <x:c r="M314" s="12" t="n">
        <x:v>0.24817175097432143</x:v>
      </x:c>
    </x:row>
    <x:row r="315">
      <x:c r="A315" t="str">
        <x:v>ORD-10314</x:v>
      </x:c>
      <x:c r="B315" s="8" t="n">
        <x:v>45716</x:v>
      </x:c>
      <x:c r="C315" t="n">
        <x:v>2025</x:v>
      </x:c>
      <x:c r="D315" t="str">
        <x:v>Germany</x:v>
      </x:c>
      <x:c r="E315" t="str">
        <x:v>Europe</x:v>
      </x:c>
      <x:c r="F315" t="str">
        <x:v>Technology</x:v>
      </x:c>
      <x:c r="G315" t="str">
        <x:v>Headphones</x:v>
      </x:c>
      <x:c r="H315" t="str">
        <x:v>Home Office</x:v>
      </x:c>
      <x:c r="I315" t="n">
        <x:v>114</x:v>
      </x:c>
      <x:c r="J315" s="10" t="n">
        <x:v>70187.96</x:v>
      </x:c>
      <x:c r="K315" s="10" t="n">
        <x:v>50072.61</x:v>
      </x:c>
      <x:c r="L315" s="10" t="n">
        <x:v>20115.35</x:v>
      </x:c>
      <x:c r="M315" s="12" t="n">
        <x:v>0.2865926556642213</x:v>
      </x:c>
    </x:row>
    <x:row r="316">
      <x:c r="A316" t="str">
        <x:v>ORD-10315</x:v>
      </x:c>
      <x:c r="B316" s="8" t="n">
        <x:v>45738</x:v>
      </x:c>
      <x:c r="C316" t="n">
        <x:v>2025</x:v>
      </x:c>
      <x:c r="D316" t="str">
        <x:v>Germany</x:v>
      </x:c>
      <x:c r="E316" t="str">
        <x:v>Europe</x:v>
      </x:c>
      <x:c r="F316" t="str">
        <x:v>Office Supplies</x:v>
      </x:c>
      <x:c r="G316" t="str">
        <x:v>Printer Paper</x:v>
      </x:c>
      <x:c r="H316" t="str">
        <x:v>Home Office</x:v>
      </x:c>
      <x:c r="I316" t="n">
        <x:v>32</x:v>
      </x:c>
      <x:c r="J316" s="10" t="n">
        <x:v>3342.81</x:v>
      </x:c>
      <x:c r="K316" s="10" t="n">
        <x:v>2683.25</x:v>
      </x:c>
      <x:c r="L316" s="10" t="n">
        <x:v>659.56</x:v>
      </x:c>
      <x:c r="M316" s="12" t="n">
        <x:v>0.19730641274903676</x:v>
      </x:c>
    </x:row>
    <x:row r="317">
      <x:c r="A317" t="str">
        <x:v>ORD-10316</x:v>
      </x:c>
      <x:c r="B317" s="8" t="n">
        <x:v>45765</x:v>
      </x:c>
      <x:c r="C317" t="n">
        <x:v>2025</x:v>
      </x:c>
      <x:c r="D317" t="str">
        <x:v>Germany</x:v>
      </x:c>
      <x:c r="E317" t="str">
        <x:v>Europe</x:v>
      </x:c>
      <x:c r="F317" t="str">
        <x:v>Furniture</x:v>
      </x:c>
      <x:c r="G317" t="str">
        <x:v>Storage Cabinet</x:v>
      </x:c>
      <x:c r="H317" t="str">
        <x:v>Corporate</x:v>
      </x:c>
      <x:c r="I317" t="n">
        <x:v>37</x:v>
      </x:c>
      <x:c r="J317" s="10" t="n">
        <x:v>12951.98</x:v>
      </x:c>
      <x:c r="K317" s="10" t="n">
        <x:v>9921.54</x:v>
      </x:c>
      <x:c r="L317" s="10" t="n">
        <x:v>3030.44</x:v>
      </x:c>
      <x:c r="M317" s="12" t="n">
        <x:v>0.2339752477487865</x:v>
      </x:c>
    </x:row>
    <x:row r="318">
      <x:c r="A318" t="str">
        <x:v>ORD-10317</x:v>
      </x:c>
      <x:c r="B318" s="8" t="n">
        <x:v>45795</x:v>
      </x:c>
      <x:c r="C318" t="n">
        <x:v>2025</x:v>
      </x:c>
      <x:c r="D318" t="str">
        <x:v>Germany</x:v>
      </x:c>
      <x:c r="E318" t="str">
        <x:v>Europe</x:v>
      </x:c>
      <x:c r="F318" t="str">
        <x:v>Furniture</x:v>
      </x:c>
      <x:c r="G318" t="str">
        <x:v>Bookshelf</x:v>
      </x:c>
      <x:c r="H318" t="str">
        <x:v>Home Office</x:v>
      </x:c>
      <x:c r="I318" t="n">
        <x:v>76</x:v>
      </x:c>
      <x:c r="J318" s="10" t="n">
        <x:v>22443.07</x:v>
      </x:c>
      <x:c r="K318" s="10" t="n">
        <x:v>17963.83</x:v>
      </x:c>
      <x:c r="L318" s="10" t="n">
        <x:v>4479.24</x:v>
      </x:c>
      <x:c r="M318" s="12" t="n">
        <x:v>0.19958229626328328</x:v>
      </x:c>
    </x:row>
    <x:row r="319">
      <x:c r="A319" t="str">
        <x:v>ORD-10318</x:v>
      </x:c>
      <x:c r="B319" s="8" t="n">
        <x:v>45831</x:v>
      </x:c>
      <x:c r="C319" t="n">
        <x:v>2025</x:v>
      </x:c>
      <x:c r="D319" t="str">
        <x:v>Germany</x:v>
      </x:c>
      <x:c r="E319" t="str">
        <x:v>Europe</x:v>
      </x:c>
      <x:c r="F319" t="str">
        <x:v>Furniture</x:v>
      </x:c>
      <x:c r="G319" t="str">
        <x:v>Desk</x:v>
      </x:c>
      <x:c r="H319" t="str">
        <x:v>Corporate</x:v>
      </x:c>
      <x:c r="I319" t="n">
        <x:v>113</x:v>
      </x:c>
      <x:c r="J319" s="10" t="n">
        <x:v>35607.55</x:v>
      </x:c>
      <x:c r="K319" s="10" t="n">
        <x:v>28668.59</x:v>
      </x:c>
      <x:c r="L319" s="10" t="n">
        <x:v>6938.96</x:v>
      </x:c>
      <x:c r="M319" s="12" t="n">
        <x:v>0.19487333538255688</x:v>
      </x:c>
    </x:row>
    <x:row r="320">
      <x:c r="A320" t="str">
        <x:v>ORD-10319</x:v>
      </x:c>
      <x:c r="B320" s="8" t="n">
        <x:v>45862</x:v>
      </x:c>
      <x:c r="C320" t="n">
        <x:v>2025</x:v>
      </x:c>
      <x:c r="D320" t="str">
        <x:v>Germany</x:v>
      </x:c>
      <x:c r="E320" t="str">
        <x:v>Europe</x:v>
      </x:c>
      <x:c r="F320" t="str">
        <x:v>Furniture</x:v>
      </x:c>
      <x:c r="G320" t="str">
        <x:v>Bookshelf</x:v>
      </x:c>
      <x:c r="H320" t="str">
        <x:v>Corporate</x:v>
      </x:c>
      <x:c r="I320" t="n">
        <x:v>59</x:v>
      </x:c>
      <x:c r="J320" s="10" t="n">
        <x:v>21871.14</x:v>
      </x:c>
      <x:c r="K320" s="10" t="n">
        <x:v>15700.46</x:v>
      </x:c>
      <x:c r="L320" s="10" t="n">
        <x:v>6170.69</x:v>
      </x:c>
      <x:c r="M320" s="12" t="n">
        <x:v>0.2821382467109609</x:v>
      </x:c>
    </x:row>
    <x:row r="321">
      <x:c r="A321" t="str">
        <x:v>ORD-10320</x:v>
      </x:c>
      <x:c r="B321" s="8" t="n">
        <x:v>45882</x:v>
      </x:c>
      <x:c r="C321" t="n">
        <x:v>2025</x:v>
      </x:c>
      <x:c r="D321" t="str">
        <x:v>Germany</x:v>
      </x:c>
      <x:c r="E321" t="str">
        <x:v>Europe</x:v>
      </x:c>
      <x:c r="F321" t="str">
        <x:v>Furniture</x:v>
      </x:c>
      <x:c r="G321" t="str">
        <x:v>Bookshelf</x:v>
      </x:c>
      <x:c r="H321" t="str">
        <x:v>Consumer</x:v>
      </x:c>
      <x:c r="I321" t="n">
        <x:v>88</x:v>
      </x:c>
      <x:c r="J321" s="10" t="n">
        <x:v>34713.88</x:v>
      </x:c>
      <x:c r="K321" s="10" t="n">
        <x:v>27230.84</x:v>
      </x:c>
      <x:c r="L321" s="10" t="n">
        <x:v>7483.04</x:v>
      </x:c>
      <x:c r="M321" s="12" t="n">
        <x:v>0.21556330224492593</x:v>
      </x:c>
    </x:row>
    <x:row r="322">
      <x:c r="A322" t="str">
        <x:v>ORD-10321</x:v>
      </x:c>
      <x:c r="B322" s="8" t="n">
        <x:v>45912</x:v>
      </x:c>
      <x:c r="C322" t="n">
        <x:v>2025</x:v>
      </x:c>
      <x:c r="D322" t="str">
        <x:v>Germany</x:v>
      </x:c>
      <x:c r="E322" t="str">
        <x:v>Europe</x:v>
      </x:c>
      <x:c r="F322" t="str">
        <x:v>Furniture</x:v>
      </x:c>
      <x:c r="G322" t="str">
        <x:v>Desk</x:v>
      </x:c>
      <x:c r="H322" t="str">
        <x:v>Corporate</x:v>
      </x:c>
      <x:c r="I322" t="n">
        <x:v>20</x:v>
      </x:c>
      <x:c r="J322" s="10" t="n">
        <x:v>6296.6</x:v>
      </x:c>
      <x:c r="K322" s="10" t="n">
        <x:v>4686.58</x:v>
      </x:c>
      <x:c r="L322" s="10" t="n">
        <x:v>1610.02</x:v>
      </x:c>
      <x:c r="M322" s="12" t="n">
        <x:v>0.2556969544998074</x:v>
      </x:c>
    </x:row>
    <x:row r="323">
      <x:c r="A323" t="str">
        <x:v>ORD-10322</x:v>
      </x:c>
      <x:c r="B323" s="8" t="n">
        <x:v>45939</x:v>
      </x:c>
      <x:c r="C323" t="n">
        <x:v>2025</x:v>
      </x:c>
      <x:c r="D323" t="str">
        <x:v>Germany</x:v>
      </x:c>
      <x:c r="E323" t="str">
        <x:v>Europe</x:v>
      </x:c>
      <x:c r="F323" t="str">
        <x:v>Furniture</x:v>
      </x:c>
      <x:c r="G323" t="str">
        <x:v>Bookshelf</x:v>
      </x:c>
      <x:c r="H323" t="str">
        <x:v>Home Office</x:v>
      </x:c>
      <x:c r="I323" t="n">
        <x:v>76</x:v>
      </x:c>
      <x:c r="J323" s="10" t="n">
        <x:v>22781.1</x:v>
      </x:c>
      <x:c r="K323" s="10" t="n">
        <x:v>16644.91</x:v>
      </x:c>
      <x:c r="L323" s="10" t="n">
        <x:v>6136.18</x:v>
      </x:c>
      <x:c r="M323" s="12" t="n">
        <x:v>0.26935420442096397</x:v>
      </x:c>
    </x:row>
    <x:row r="324">
      <x:c r="A324" t="str">
        <x:v>ORD-10323</x:v>
      </x:c>
      <x:c r="B324" s="8" t="n">
        <x:v>45969</x:v>
      </x:c>
      <x:c r="C324" t="n">
        <x:v>2025</x:v>
      </x:c>
      <x:c r="D324" t="str">
        <x:v>Germany</x:v>
      </x:c>
      <x:c r="E324" t="str">
        <x:v>Europe</x:v>
      </x:c>
      <x:c r="F324" t="str">
        <x:v>Office Supplies</x:v>
      </x:c>
      <x:c r="G324" t="str">
        <x:v>Binders</x:v>
      </x:c>
      <x:c r="H324" t="str">
        <x:v>Consumer</x:v>
      </x:c>
      <x:c r="I324" t="n">
        <x:v>28</x:v>
      </x:c>
      <x:c r="J324" s="10" t="n">
        <x:v>3085.36</x:v>
      </x:c>
      <x:c r="K324" s="10" t="n">
        <x:v>2467</x:v>
      </x:c>
      <x:c r="L324" s="10" t="n">
        <x:v>618.37</x:v>
      </x:c>
      <x:c r="M324" s="12" t="n">
        <x:v>0.2004196598284978</x:v>
      </x:c>
    </x:row>
    <x:row r="325">
      <x:c r="A325" t="str">
        <x:v>ORD-10324</x:v>
      </x:c>
      <x:c r="B325" s="8" t="n">
        <x:v>46014</x:v>
      </x:c>
      <x:c r="C325" t="n">
        <x:v>2025</x:v>
      </x:c>
      <x:c r="D325" t="str">
        <x:v>Germany</x:v>
      </x:c>
      <x:c r="E325" t="str">
        <x:v>Europe</x:v>
      </x:c>
      <x:c r="F325" t="str">
        <x:v>Technology</x:v>
      </x:c>
      <x:c r="G325" t="str">
        <x:v>Smartphone</x:v>
      </x:c>
      <x:c r="H325" t="str">
        <x:v>Home Office</x:v>
      </x:c>
      <x:c r="I325" t="n">
        <x:v>44</x:v>
      </x:c>
      <x:c r="J325" s="10" t="n">
        <x:v>18955.15</x:v>
      </x:c>
      <x:c r="K325" s="10" t="n">
        <x:v>13655.36</x:v>
      </x:c>
      <x:c r="L325" s="10" t="n">
        <x:v>5299.79</x:v>
      </x:c>
      <x:c r="M325" s="12" t="n">
        <x:v>0.279596163925791</x:v>
      </x:c>
    </x:row>
    <x:row r="326">
      <x:c r="A326" t="str">
        <x:v>ORD-10325</x:v>
      </x:c>
      <x:c r="B326" s="8" t="n">
        <x:v>45663</x:v>
      </x:c>
      <x:c r="C326" t="n">
        <x:v>2025</x:v>
      </x:c>
      <x:c r="D326" t="str">
        <x:v>France</x:v>
      </x:c>
      <x:c r="E326" t="str">
        <x:v>Europe</x:v>
      </x:c>
      <x:c r="F326" t="str">
        <x:v>Furniture</x:v>
      </x:c>
      <x:c r="G326" t="str">
        <x:v>Office Chair</x:v>
      </x:c>
      <x:c r="H326" t="str">
        <x:v>Home Office</x:v>
      </x:c>
      <x:c r="I326" t="n">
        <x:v>113</x:v>
      </x:c>
      <x:c r="J326" s="10" t="n">
        <x:v>27711.22</x:v>
      </x:c>
      <x:c r="K326" s="10" t="n">
        <x:v>19792.95</x:v>
      </x:c>
      <x:c r="L326" s="10" t="n">
        <x:v>7918.27</x:v>
      </x:c>
      <x:c r="M326" s="12" t="n">
        <x:v>0.2857422520670467</x:v>
      </x:c>
    </x:row>
    <x:row r="327">
      <x:c r="A327" t="str">
        <x:v>ORD-10326</x:v>
      </x:c>
      <x:c r="B327" s="8" t="n">
        <x:v>45699</x:v>
      </x:c>
      <x:c r="C327" t="n">
        <x:v>2025</x:v>
      </x:c>
      <x:c r="D327" t="str">
        <x:v>France</x:v>
      </x:c>
      <x:c r="E327" t="str">
        <x:v>Europe</x:v>
      </x:c>
      <x:c r="F327" t="str">
        <x:v>Furniture</x:v>
      </x:c>
      <x:c r="G327" t="str">
        <x:v>Storage Cabinet</x:v>
      </x:c>
      <x:c r="H327" t="str">
        <x:v>Corporate</x:v>
      </x:c>
      <x:c r="I327" t="n">
        <x:v>98</x:v>
      </x:c>
      <x:c r="J327" s="10" t="n">
        <x:v>25106.47</x:v>
      </x:c>
      <x:c r="K327" s="10" t="n">
        <x:v>17934.31</x:v>
      </x:c>
      <x:c r="L327" s="10" t="n">
        <x:v>7172.16</x:v>
      </x:c>
      <x:c r="M327" s="12" t="n">
        <x:v>0.2856696846669122</x:v>
      </x:c>
    </x:row>
    <x:row r="328">
      <x:c r="A328" t="str">
        <x:v>ORD-10327</x:v>
      </x:c>
      <x:c r="B328" s="8" t="n">
        <x:v>45740</x:v>
      </x:c>
      <x:c r="C328" t="n">
        <x:v>2025</x:v>
      </x:c>
      <x:c r="D328" t="str">
        <x:v>France</x:v>
      </x:c>
      <x:c r="E328" t="str">
        <x:v>Europe</x:v>
      </x:c>
      <x:c r="F328" t="str">
        <x:v>Furniture</x:v>
      </x:c>
      <x:c r="G328" t="str">
        <x:v>Office Chair</x:v>
      </x:c>
      <x:c r="H328" t="str">
        <x:v>Consumer</x:v>
      </x:c>
      <x:c r="I328" t="n">
        <x:v>98</x:v>
      </x:c>
      <x:c r="J328" s="10" t="n">
        <x:v>31596.37</x:v>
      </x:c>
      <x:c r="K328" s="10" t="n">
        <x:v>24195.92</x:v>
      </x:c>
      <x:c r="L328" s="10" t="n">
        <x:v>7400.45</x:v>
      </x:c>
      <x:c r="M328" s="12" t="n">
        <x:v>0.23421827322723257</x:v>
      </x:c>
    </x:row>
    <x:row r="329">
      <x:c r="A329" t="str">
        <x:v>ORD-10328</x:v>
      </x:c>
      <x:c r="B329" s="8" t="n">
        <x:v>45774</x:v>
      </x:c>
      <x:c r="C329" t="n">
        <x:v>2025</x:v>
      </x:c>
      <x:c r="D329" t="str">
        <x:v>France</x:v>
      </x:c>
      <x:c r="E329" t="str">
        <x:v>Europe</x:v>
      </x:c>
      <x:c r="F329" t="str">
        <x:v>Technology</x:v>
      </x:c>
      <x:c r="G329" t="str">
        <x:v>Smartphone</x:v>
      </x:c>
      <x:c r="H329" t="str">
        <x:v>Corporate</x:v>
      </x:c>
      <x:c r="I329" t="n">
        <x:v>37</x:v>
      </x:c>
      <x:c r="J329" s="10" t="n">
        <x:v>23071.16</x:v>
      </x:c>
      <x:c r="K329" s="10" t="n">
        <x:v>17664.18</x:v>
      </x:c>
      <x:c r="L329" s="10" t="n">
        <x:v>5406.97</x:v>
      </x:c>
      <x:c r="M329" s="12" t="n">
        <x:v>0.2343607819055066</x:v>
      </x:c>
    </x:row>
    <x:row r="330">
      <x:c r="A330" t="str">
        <x:v>ORD-10329</x:v>
      </x:c>
      <x:c r="B330" s="8" t="n">
        <x:v>45779</x:v>
      </x:c>
      <x:c r="C330" t="n">
        <x:v>2025</x:v>
      </x:c>
      <x:c r="D330" t="str">
        <x:v>France</x:v>
      </x:c>
      <x:c r="E330" t="str">
        <x:v>Europe</x:v>
      </x:c>
      <x:c r="F330" t="str">
        <x:v>Furniture</x:v>
      </x:c>
      <x:c r="G330" t="str">
        <x:v>Storage Cabinet</x:v>
      </x:c>
      <x:c r="H330" t="str">
        <x:v>Consumer</x:v>
      </x:c>
      <x:c r="I330" t="n">
        <x:v>110</x:v>
      </x:c>
      <x:c r="J330" s="10" t="n">
        <x:v>43008.88</x:v>
      </x:c>
      <x:c r="K330" s="10" t="n">
        <x:v>30918.02</x:v>
      </x:c>
      <x:c r="L330" s="10" t="n">
        <x:v>12090.86</x:v>
      </x:c>
      <x:c r="M330" s="12" t="n">
        <x:v>0.2811247637475731</x:v>
      </x:c>
    </x:row>
    <x:row r="331">
      <x:c r="A331" t="str">
        <x:v>ORD-10330</x:v>
      </x:c>
      <x:c r="B331" s="8" t="n">
        <x:v>45818</x:v>
      </x:c>
      <x:c r="C331" t="n">
        <x:v>2025</x:v>
      </x:c>
      <x:c r="D331" t="str">
        <x:v>France</x:v>
      </x:c>
      <x:c r="E331" t="str">
        <x:v>Europe</x:v>
      </x:c>
      <x:c r="F331" t="str">
        <x:v>Technology</x:v>
      </x:c>
      <x:c r="G331" t="str">
        <x:v>Monitor</x:v>
      </x:c>
      <x:c r="H331" t="str">
        <x:v>Home Office</x:v>
      </x:c>
      <x:c r="I331" t="n">
        <x:v>92</x:v>
      </x:c>
      <x:c r="J331" s="10" t="n">
        <x:v>35652.86</x:v>
      </x:c>
      <x:c r="K331" s="10" t="n">
        <x:v>23247.12</x:v>
      </x:c>
      <x:c r="L331" s="10" t="n">
        <x:v>12405.74</x:v>
      </x:c>
      <x:c r="M331" s="12" t="n">
        <x:v>0.34795926660452087</x:v>
      </x:c>
    </x:row>
    <x:row r="332">
      <x:c r="A332" t="str">
        <x:v>ORD-10331</x:v>
      </x:c>
      <x:c r="B332" s="8" t="n">
        <x:v>45842</x:v>
      </x:c>
      <x:c r="C332" t="n">
        <x:v>2025</x:v>
      </x:c>
      <x:c r="D332" t="str">
        <x:v>France</x:v>
      </x:c>
      <x:c r="E332" t="str">
        <x:v>Europe</x:v>
      </x:c>
      <x:c r="F332" t="str">
        <x:v>Furniture</x:v>
      </x:c>
      <x:c r="G332" t="str">
        <x:v>Storage Cabinet</x:v>
      </x:c>
      <x:c r="H332" t="str">
        <x:v>Consumer</x:v>
      </x:c>
      <x:c r="I332" t="n">
        <x:v>79</x:v>
      </x:c>
      <x:c r="J332" s="10" t="n">
        <x:v>23988.88</x:v>
      </x:c>
      <x:c r="K332" s="10" t="n">
        <x:v>19355.73</x:v>
      </x:c>
      <x:c r="L332" s="10" t="n">
        <x:v>4633.15</x:v>
      </x:c>
      <x:c r="M332" s="12" t="n">
        <x:v>0.19313736779285723</x:v>
      </x:c>
    </x:row>
    <x:row r="333">
      <x:c r="A333" t="str">
        <x:v>ORD-10332</x:v>
      </x:c>
      <x:c r="B333" s="8" t="n">
        <x:v>45870</x:v>
      </x:c>
      <x:c r="C333" t="n">
        <x:v>2025</x:v>
      </x:c>
      <x:c r="D333" t="str">
        <x:v>France</x:v>
      </x:c>
      <x:c r="E333" t="str">
        <x:v>Europe</x:v>
      </x:c>
      <x:c r="F333" t="str">
        <x:v>Furniture</x:v>
      </x:c>
      <x:c r="G333" t="str">
        <x:v>Desk</x:v>
      </x:c>
      <x:c r="H333" t="str">
        <x:v>Home Office</x:v>
      </x:c>
      <x:c r="I333" t="n">
        <x:v>73</x:v>
      </x:c>
      <x:c r="J333" s="10" t="n">
        <x:v>24492.82</x:v>
      </x:c>
      <x:c r="K333" s="10" t="n">
        <x:v>18216.98</x:v>
      </x:c>
      <x:c r="L333" s="10" t="n">
        <x:v>6275.84</x:v>
      </x:c>
      <x:c r="M333" s="12" t="n">
        <x:v>0.2562317808147064</x:v>
      </x:c>
    </x:row>
    <x:row r="334">
      <x:c r="A334" t="str">
        <x:v>ORD-10333</x:v>
      </x:c>
      <x:c r="B334" s="8" t="n">
        <x:v>45920</x:v>
      </x:c>
      <x:c r="C334" t="n">
        <x:v>2025</x:v>
      </x:c>
      <x:c r="D334" t="str">
        <x:v>France</x:v>
      </x:c>
      <x:c r="E334" t="str">
        <x:v>Europe</x:v>
      </x:c>
      <x:c r="F334" t="str">
        <x:v>Office Supplies</x:v>
      </x:c>
      <x:c r="G334" t="str">
        <x:v>Binders</x:v>
      </x:c>
      <x:c r="H334" t="str">
        <x:v>Corporate</x:v>
      </x:c>
      <x:c r="I334" t="n">
        <x:v>87</x:v>
      </x:c>
      <x:c r="J334" s="10" t="n">
        <x:v>8536.06</x:v>
      </x:c>
      <x:c r="K334" s="10" t="n">
        <x:v>7228.51</x:v>
      </x:c>
      <x:c r="L334" s="10" t="n">
        <x:v>1307.55</x:v>
      </x:c>
      <x:c r="M334" s="12" t="n">
        <x:v>0.15317935452654496</x:v>
      </x:c>
    </x:row>
    <x:row r="335">
      <x:c r="A335" t="str">
        <x:v>ORD-10334</x:v>
      </x:c>
      <x:c r="B335" s="8" t="n">
        <x:v>45934</x:v>
      </x:c>
      <x:c r="C335" t="n">
        <x:v>2025</x:v>
      </x:c>
      <x:c r="D335" t="str">
        <x:v>France</x:v>
      </x:c>
      <x:c r="E335" t="str">
        <x:v>Europe</x:v>
      </x:c>
      <x:c r="F335" t="str">
        <x:v>Office Supplies</x:v>
      </x:c>
      <x:c r="G335" t="str">
        <x:v>Desk Organizer</x:v>
      </x:c>
      <x:c r="H335" t="str">
        <x:v>Corporate</x:v>
      </x:c>
      <x:c r="I335" t="n">
        <x:v>80</x:v>
      </x:c>
      <x:c r="J335" s="10" t="n">
        <x:v>6436.05</x:v>
      </x:c>
      <x:c r="K335" s="10" t="n">
        <x:v>5289.79</x:v>
      </x:c>
      <x:c r="L335" s="10" t="n">
        <x:v>1146.26</x:v>
      </x:c>
      <x:c r="M335" s="12" t="n">
        <x:v>0.1780999895953439</x:v>
      </x:c>
    </x:row>
    <x:row r="336">
      <x:c r="A336" t="str">
        <x:v>ORD-10335</x:v>
      </x:c>
      <x:c r="B336" s="8" t="n">
        <x:v>45974</x:v>
      </x:c>
      <x:c r="C336" t="n">
        <x:v>2025</x:v>
      </x:c>
      <x:c r="D336" t="str">
        <x:v>France</x:v>
      </x:c>
      <x:c r="E336" t="str">
        <x:v>Europe</x:v>
      </x:c>
      <x:c r="F336" t="str">
        <x:v>Technology</x:v>
      </x:c>
      <x:c r="G336" t="str">
        <x:v>Smartphone</x:v>
      </x:c>
      <x:c r="H336" t="str">
        <x:v>Corporate</x:v>
      </x:c>
      <x:c r="I336" t="n">
        <x:v>56</x:v>
      </x:c>
      <x:c r="J336" s="10" t="n">
        <x:v>34948.93</x:v>
      </x:c>
      <x:c r="K336" s="10" t="n">
        <x:v>26882.04</x:v>
      </x:c>
      <x:c r="L336" s="10" t="n">
        <x:v>8066.9</x:v>
      </x:c>
      <x:c r="M336" s="12" t="n">
        <x:v>0.23081961446474664</x:v>
      </x:c>
    </x:row>
    <x:row r="337">
      <x:c r="A337" t="str">
        <x:v>ORD-10336</x:v>
      </x:c>
      <x:c r="B337" s="8" t="n">
        <x:v>45992</x:v>
      </x:c>
      <x:c r="C337" t="n">
        <x:v>2025</x:v>
      </x:c>
      <x:c r="D337" t="str">
        <x:v>France</x:v>
      </x:c>
      <x:c r="E337" t="str">
        <x:v>Europe</x:v>
      </x:c>
      <x:c r="F337" t="str">
        <x:v>Technology</x:v>
      </x:c>
      <x:c r="G337" t="str">
        <x:v>Headphones</x:v>
      </x:c>
      <x:c r="H337" t="str">
        <x:v>Corporate</x:v>
      </x:c>
      <x:c r="I337" t="n">
        <x:v>57</x:v>
      </x:c>
      <x:c r="J337" s="10" t="n">
        <x:v>25257.01</x:v>
      </x:c>
      <x:c r="K337" s="10" t="n">
        <x:v>17256.95</x:v>
      </x:c>
      <x:c r="L337" s="10" t="n">
        <x:v>8000.05</x:v>
      </x:c>
      <x:c r="M337" s="12" t="n">
        <x:v>0.31674590340811976</x:v>
      </x:c>
    </x:row>
    <x:row r="338">
      <x:c r="A338" t="str">
        <x:v>ORD-10337</x:v>
      </x:c>
      <x:c r="B338" s="8" t="n">
        <x:v>45667</x:v>
      </x:c>
      <x:c r="C338" t="n">
        <x:v>2025</x:v>
      </x:c>
      <x:c r="D338" t="str">
        <x:v>Spain</x:v>
      </x:c>
      <x:c r="E338" t="str">
        <x:v>Europe</x:v>
      </x:c>
      <x:c r="F338" t="str">
        <x:v>Furniture</x:v>
      </x:c>
      <x:c r="G338" t="str">
        <x:v>Bookshelf</x:v>
      </x:c>
      <x:c r="H338" t="str">
        <x:v>Home Office</x:v>
      </x:c>
      <x:c r="I338" t="n">
        <x:v>45</x:v>
      </x:c>
      <x:c r="J338" s="10" t="n">
        <x:v>6839.25</x:v>
      </x:c>
      <x:c r="K338" s="10" t="n">
        <x:v>5579.55</x:v>
      </x:c>
      <x:c r="L338" s="10" t="n">
        <x:v>1259.7</x:v>
      </x:c>
      <x:c r="M338" s="12" t="n">
        <x:v>0.18418698173647677</x:v>
      </x:c>
    </x:row>
    <x:row r="339">
      <x:c r="A339" t="str">
        <x:v>ORD-10338</x:v>
      </x:c>
      <x:c r="B339" s="8" t="n">
        <x:v>45713</x:v>
      </x:c>
      <x:c r="C339" t="n">
        <x:v>2025</x:v>
      </x:c>
      <x:c r="D339" t="str">
        <x:v>Spain</x:v>
      </x:c>
      <x:c r="E339" t="str">
        <x:v>Europe</x:v>
      </x:c>
      <x:c r="F339" t="str">
        <x:v>Technology</x:v>
      </x:c>
      <x:c r="G339" t="str">
        <x:v>Headphones</x:v>
      </x:c>
      <x:c r="H339" t="str">
        <x:v>Home Office</x:v>
      </x:c>
      <x:c r="I339" t="n">
        <x:v>79</x:v>
      </x:c>
      <x:c r="J339" s="10" t="n">
        <x:v>32122.18</x:v>
      </x:c>
      <x:c r="K339" s="10" t="n">
        <x:v>21311.9</x:v>
      </x:c>
      <x:c r="L339" s="10" t="n">
        <x:v>10810.28</x:v>
      </x:c>
      <x:c r="M339" s="12" t="n">
        <x:v>0.336536169681153</x:v>
      </x:c>
    </x:row>
    <x:row r="340">
      <x:c r="A340" t="str">
        <x:v>ORD-10339</x:v>
      </x:c>
      <x:c r="B340" s="8" t="n">
        <x:v>45721</x:v>
      </x:c>
      <x:c r="C340" t="n">
        <x:v>2025</x:v>
      </x:c>
      <x:c r="D340" t="str">
        <x:v>Spain</x:v>
      </x:c>
      <x:c r="E340" t="str">
        <x:v>Europe</x:v>
      </x:c>
      <x:c r="F340" t="str">
        <x:v>Furniture</x:v>
      </x:c>
      <x:c r="G340" t="str">
        <x:v>Office Chair</x:v>
      </x:c>
      <x:c r="H340" t="str">
        <x:v>Home Office</x:v>
      </x:c>
      <x:c r="I340" t="n">
        <x:v>52</x:v>
      </x:c>
      <x:c r="J340" s="10" t="n">
        <x:v>9742.73</x:v>
      </x:c>
      <x:c r="K340" s="10" t="n">
        <x:v>7828.26</x:v>
      </x:c>
      <x:c r="L340" s="10" t="n">
        <x:v>1914.46</x:v>
      </x:c>
      <x:c r="M340" s="12" t="n">
        <x:v>0.19650190879624665</x:v>
      </x:c>
    </x:row>
    <x:row r="341">
      <x:c r="A341" t="str">
        <x:v>ORD-10340</x:v>
      </x:c>
      <x:c r="B341" s="8" t="n">
        <x:v>45770</x:v>
      </x:c>
      <x:c r="C341" t="n">
        <x:v>2025</x:v>
      </x:c>
      <x:c r="D341" t="str">
        <x:v>Spain</x:v>
      </x:c>
      <x:c r="E341" t="str">
        <x:v>Europe</x:v>
      </x:c>
      <x:c r="F341" t="str">
        <x:v>Furniture</x:v>
      </x:c>
      <x:c r="G341" t="str">
        <x:v>Desk</x:v>
      </x:c>
      <x:c r="H341" t="str">
        <x:v>Corporate</x:v>
      </x:c>
      <x:c r="I341" t="n">
        <x:v>110</x:v>
      </x:c>
      <x:c r="J341" s="10" t="n">
        <x:v>28525.71</x:v>
      </x:c>
      <x:c r="K341" s="10" t="n">
        <x:v>22397.39</x:v>
      </x:c>
      <x:c r="L341" s="10" t="n">
        <x:v>6128.32</x:v>
      </x:c>
      <x:c r="M341" s="12" t="n">
        <x:v>0.21483498103843235</x:v>
      </x:c>
    </x:row>
    <x:row r="342">
      <x:c r="A342" t="str">
        <x:v>ORD-10341</x:v>
      </x:c>
      <x:c r="B342" s="8" t="n">
        <x:v>45785</x:v>
      </x:c>
      <x:c r="C342" t="n">
        <x:v>2025</x:v>
      </x:c>
      <x:c r="D342" t="str">
        <x:v>Spain</x:v>
      </x:c>
      <x:c r="E342" t="str">
        <x:v>Europe</x:v>
      </x:c>
      <x:c r="F342" t="str">
        <x:v>Office Supplies</x:v>
      </x:c>
      <x:c r="G342" t="str">
        <x:v>Desk Organizer</x:v>
      </x:c>
      <x:c r="H342" t="str">
        <x:v>Home Office</x:v>
      </x:c>
      <x:c r="I342" t="n">
        <x:v>117</x:v>
      </x:c>
      <x:c r="J342" s="10" t="n">
        <x:v>7482.7</x:v>
      </x:c>
      <x:c r="K342" s="10" t="n">
        <x:v>6313.83</x:v>
      </x:c>
      <x:c r="L342" s="10" t="n">
        <x:v>1168.87</x:v>
      </x:c>
      <x:c r="M342" s="12" t="n">
        <x:v>0.15620939471887924</x:v>
      </x:c>
    </x:row>
    <x:row r="343">
      <x:c r="A343" t="str">
        <x:v>ORD-10342</x:v>
      </x:c>
      <x:c r="B343" s="8" t="n">
        <x:v>45827</x:v>
      </x:c>
      <x:c r="C343" t="n">
        <x:v>2025</x:v>
      </x:c>
      <x:c r="D343" t="str">
        <x:v>Spain</x:v>
      </x:c>
      <x:c r="E343" t="str">
        <x:v>Europe</x:v>
      </x:c>
      <x:c r="F343" t="str">
        <x:v>Office Supplies</x:v>
      </x:c>
      <x:c r="G343" t="str">
        <x:v>Printer Paper</x:v>
      </x:c>
      <x:c r="H343" t="str">
        <x:v>Home Office</x:v>
      </x:c>
      <x:c r="I343" t="n">
        <x:v>72</x:v>
      </x:c>
      <x:c r="J343" s="10" t="n">
        <x:v>4277.75</x:v>
      </x:c>
      <x:c r="K343" s="10" t="n">
        <x:v>3535.93</x:v>
      </x:c>
      <x:c r="L343" s="10" t="n">
        <x:v>741.82</x:v>
      </x:c>
      <x:c r="M343" s="12" t="n">
        <x:v>0.17341418422290925</x:v>
      </x:c>
    </x:row>
    <x:row r="344">
      <x:c r="A344" t="str">
        <x:v>ORD-10343</x:v>
      </x:c>
      <x:c r="B344" s="8" t="n">
        <x:v>45844</x:v>
      </x:c>
      <x:c r="C344" t="n">
        <x:v>2025</x:v>
      </x:c>
      <x:c r="D344" t="str">
        <x:v>Spain</x:v>
      </x:c>
      <x:c r="E344" t="str">
        <x:v>Europe</x:v>
      </x:c>
      <x:c r="F344" t="str">
        <x:v>Technology</x:v>
      </x:c>
      <x:c r="G344" t="str">
        <x:v>Laptop</x:v>
      </x:c>
      <x:c r="H344" t="str">
        <x:v>Home Office</x:v>
      </x:c>
      <x:c r="I344" t="n">
        <x:v>79</x:v>
      </x:c>
      <x:c r="J344" s="10" t="n">
        <x:v>21465.33</x:v>
      </x:c>
      <x:c r="K344" s="10" t="n">
        <x:v>15145.95</x:v>
      </x:c>
      <x:c r="L344" s="10" t="n">
        <x:v>6319.38</x:v>
      </x:c>
      <x:c r="M344" s="12" t="n">
        <x:v>0.29439921899126675</x:v>
      </x:c>
    </x:row>
    <x:row r="345">
      <x:c r="A345" t="str">
        <x:v>ORD-10344</x:v>
      </x:c>
      <x:c r="B345" s="8" t="n">
        <x:v>45872</x:v>
      </x:c>
      <x:c r="C345" t="n">
        <x:v>2025</x:v>
      </x:c>
      <x:c r="D345" t="str">
        <x:v>Spain</x:v>
      </x:c>
      <x:c r="E345" t="str">
        <x:v>Europe</x:v>
      </x:c>
      <x:c r="F345" t="str">
        <x:v>Furniture</x:v>
      </x:c>
      <x:c r="G345" t="str">
        <x:v>Storage Cabinet</x:v>
      </x:c>
      <x:c r="H345" t="str">
        <x:v>Consumer</x:v>
      </x:c>
      <x:c r="I345" t="n">
        <x:v>102</x:v>
      </x:c>
      <x:c r="J345" s="10" t="n">
        <x:v>17195.07</x:v>
      </x:c>
      <x:c r="K345" s="10" t="n">
        <x:v>13068.64</x:v>
      </x:c>
      <x:c r="L345" s="10" t="n">
        <x:v>4126.43</x:v>
      </x:c>
      <x:c r="M345" s="12" t="n">
        <x:v>0.23997772141292215</x:v>
      </x:c>
    </x:row>
    <x:row r="346">
      <x:c r="A346" t="str">
        <x:v>ORD-10345</x:v>
      </x:c>
      <x:c r="B346" s="8" t="n">
        <x:v>45919</x:v>
      </x:c>
      <x:c r="C346" t="n">
        <x:v>2025</x:v>
      </x:c>
      <x:c r="D346" t="str">
        <x:v>Spain</x:v>
      </x:c>
      <x:c r="E346" t="str">
        <x:v>Europe</x:v>
      </x:c>
      <x:c r="F346" t="str">
        <x:v>Office Supplies</x:v>
      </x:c>
      <x:c r="G346" t="str">
        <x:v>Desk Organizer</x:v>
      </x:c>
      <x:c r="H346" t="str">
        <x:v>Consumer</x:v>
      </x:c>
      <x:c r="I346" t="n">
        <x:v>73</x:v>
      </x:c>
      <x:c r="J346" s="10" t="n">
        <x:v>3370.72</x:v>
      </x:c>
      <x:c r="K346" s="10" t="n">
        <x:v>2764.49</x:v>
      </x:c>
      <x:c r="L346" s="10" t="n">
        <x:v>606.23</x:v>
      </x:c>
      <x:c r="M346" s="12" t="n">
        <x:v>0.17985094886135922</x:v>
      </x:c>
    </x:row>
    <x:row r="347">
      <x:c r="A347" t="str">
        <x:v>ORD-10346</x:v>
      </x:c>
      <x:c r="B347" s="8" t="n">
        <x:v>45939</x:v>
      </x:c>
      <x:c r="C347" t="n">
        <x:v>2025</x:v>
      </x:c>
      <x:c r="D347" t="str">
        <x:v>Spain</x:v>
      </x:c>
      <x:c r="E347" t="str">
        <x:v>Europe</x:v>
      </x:c>
      <x:c r="F347" t="str">
        <x:v>Technology</x:v>
      </x:c>
      <x:c r="G347" t="str">
        <x:v>Headphones</x:v>
      </x:c>
      <x:c r="H347" t="str">
        <x:v>Home Office</x:v>
      </x:c>
      <x:c r="I347" t="n">
        <x:v>118</x:v>
      </x:c>
      <x:c r="J347" s="10" t="n">
        <x:v>34402.79</x:v>
      </x:c>
      <x:c r="K347" s="10" t="n">
        <x:v>26400.28</x:v>
      </x:c>
      <x:c r="L347" s="10" t="n">
        <x:v>8002.52</x:v>
      </x:c>
      <x:c r="M347" s="12" t="n">
        <x:v>0.23261245494718732</x:v>
      </x:c>
    </x:row>
    <x:row r="348">
      <x:c r="A348" t="str">
        <x:v>ORD-10347</x:v>
      </x:c>
      <x:c r="B348" s="8" t="n">
        <x:v>45964</x:v>
      </x:c>
      <x:c r="C348" t="n">
        <x:v>2025</x:v>
      </x:c>
      <x:c r="D348" t="str">
        <x:v>Spain</x:v>
      </x:c>
      <x:c r="E348" t="str">
        <x:v>Europe</x:v>
      </x:c>
      <x:c r="F348" t="str">
        <x:v>Technology</x:v>
      </x:c>
      <x:c r="G348" t="str">
        <x:v>Smartphone</x:v>
      </x:c>
      <x:c r="H348" t="str">
        <x:v>Home Office</x:v>
      </x:c>
      <x:c r="I348" t="n">
        <x:v>24</x:v>
      </x:c>
      <x:c r="J348" s="10" t="n">
        <x:v>5816.68</x:v>
      </x:c>
      <x:c r="K348" s="10" t="n">
        <x:v>4238.36</x:v>
      </x:c>
      <x:c r="L348" s="10" t="n">
        <x:v>1578.32</x:v>
      </x:c>
      <x:c r="M348" s="12" t="n">
        <x:v>0.2713434639874561</x:v>
      </x:c>
    </x:row>
    <x:row r="349">
      <x:c r="A349" t="str">
        <x:v>ORD-10348</x:v>
      </x:c>
      <x:c r="B349" s="8" t="n">
        <x:v>46016</x:v>
      </x:c>
      <x:c r="C349" t="n">
        <x:v>2025</x:v>
      </x:c>
      <x:c r="D349" t="str">
        <x:v>Spain</x:v>
      </x:c>
      <x:c r="E349" t="str">
        <x:v>Europe</x:v>
      </x:c>
      <x:c r="F349" t="str">
        <x:v>Office Supplies</x:v>
      </x:c>
      <x:c r="G349" t="str">
        <x:v>Printer Paper</x:v>
      </x:c>
      <x:c r="H349" t="str">
        <x:v>Consumer</x:v>
      </x:c>
      <x:c r="I349" t="n">
        <x:v>75</x:v>
      </x:c>
      <x:c r="J349" s="10" t="n">
        <x:v>3211.95</x:v>
      </x:c>
      <x:c r="K349" s="10" t="n">
        <x:v>2636.8</x:v>
      </x:c>
      <x:c r="L349" s="10" t="n">
        <x:v>575.14</x:v>
      </x:c>
      <x:c r="M349" s="12" t="n">
        <x:v>0.17906403229830983</x:v>
      </x:c>
    </x:row>
    <x:row r="350">
      <x:c r="A350" t="str">
        <x:v>ORD-10349</x:v>
      </x:c>
      <x:c r="B350" s="8" t="n">
        <x:v>45670</x:v>
      </x:c>
      <x:c r="C350" t="n">
        <x:v>2025</x:v>
      </x:c>
      <x:c r="D350" t="str">
        <x:v>Italy</x:v>
      </x:c>
      <x:c r="E350" t="str">
        <x:v>Europe</x:v>
      </x:c>
      <x:c r="F350" t="str">
        <x:v>Technology</x:v>
      </x:c>
      <x:c r="G350" t="str">
        <x:v>Headphones</x:v>
      </x:c>
      <x:c r="H350" t="str">
        <x:v>Corporate</x:v>
      </x:c>
      <x:c r="I350" t="n">
        <x:v>63</x:v>
      </x:c>
      <x:c r="J350" s="10" t="n">
        <x:v>20402.46</x:v>
      </x:c>
      <x:c r="K350" s="10" t="n">
        <x:v>14280.62</x:v>
      </x:c>
      <x:c r="L350" s="10" t="n">
        <x:v>6121.83</x:v>
      </x:c>
      <x:c r="M350" s="12" t="n">
        <x:v>0.3000538092018073</x:v>
      </x:c>
    </x:row>
    <x:row r="351">
      <x:c r="A351" t="str">
        <x:v>ORD-10350</x:v>
      </x:c>
      <x:c r="B351" s="8" t="n">
        <x:v>45716</x:v>
      </x:c>
      <x:c r="C351" t="n">
        <x:v>2025</x:v>
      </x:c>
      <x:c r="D351" t="str">
        <x:v>Italy</x:v>
      </x:c>
      <x:c r="E351" t="str">
        <x:v>Europe</x:v>
      </x:c>
      <x:c r="F351" t="str">
        <x:v>Furniture</x:v>
      </x:c>
      <x:c r="G351" t="str">
        <x:v>Office Chair</x:v>
      </x:c>
      <x:c r="H351" t="str">
        <x:v>Home Office</x:v>
      </x:c>
      <x:c r="I351" t="n">
        <x:v>99</x:v>
      </x:c>
      <x:c r="J351" s="10" t="n">
        <x:v>24825.26</x:v>
      </x:c>
      <x:c r="K351" s="10" t="n">
        <x:v>21201.8</x:v>
      </x:c>
      <x:c r="L351" s="10" t="n">
        <x:v>3623.46</x:v>
      </x:c>
      <x:c r="M351" s="12" t="n">
        <x:v>0.14595877676028074</x:v>
      </x:c>
    </x:row>
    <x:row r="352">
      <x:c r="A352" t="str">
        <x:v>ORD-10351</x:v>
      </x:c>
      <x:c r="B352" s="8" t="n">
        <x:v>45724</x:v>
      </x:c>
      <x:c r="C352" t="n">
        <x:v>2025</x:v>
      </x:c>
      <x:c r="D352" t="str">
        <x:v>Italy</x:v>
      </x:c>
      <x:c r="E352" t="str">
        <x:v>Europe</x:v>
      </x:c>
      <x:c r="F352" t="str">
        <x:v>Furniture</x:v>
      </x:c>
      <x:c r="G352" t="str">
        <x:v>Office Chair</x:v>
      </x:c>
      <x:c r="H352" t="str">
        <x:v>Consumer</x:v>
      </x:c>
      <x:c r="I352" t="n">
        <x:v>83</x:v>
      </x:c>
      <x:c r="J352" s="10" t="n">
        <x:v>16096.15</x:v>
      </x:c>
      <x:c r="K352" s="10" t="n">
        <x:v>13757.68</x:v>
      </x:c>
      <x:c r="L352" s="10" t="n">
        <x:v>2338.48</x:v>
      </x:c>
      <x:c r="M352" s="12" t="n">
        <x:v>0.14528165047871297</x:v>
      </x:c>
    </x:row>
    <x:row r="353">
      <x:c r="A353" t="str">
        <x:v>ORD-10352</x:v>
      </x:c>
      <x:c r="B353" s="8" t="n">
        <x:v>45765</x:v>
      </x:c>
      <x:c r="C353" t="n">
        <x:v>2025</x:v>
      </x:c>
      <x:c r="D353" t="str">
        <x:v>Italy</x:v>
      </x:c>
      <x:c r="E353" t="str">
        <x:v>Europe</x:v>
      </x:c>
      <x:c r="F353" t="str">
        <x:v>Technology</x:v>
      </x:c>
      <x:c r="G353" t="str">
        <x:v>Laptop</x:v>
      </x:c>
      <x:c r="H353" t="str">
        <x:v>Corporate</x:v>
      </x:c>
      <x:c r="I353" t="n">
        <x:v>74</x:v>
      </x:c>
      <x:c r="J353" s="10" t="n">
        <x:v>27138.81</x:v>
      </x:c>
      <x:c r="K353" s="10" t="n">
        <x:v>20209.36</x:v>
      </x:c>
      <x:c r="L353" s="10" t="n">
        <x:v>6929.45</x:v>
      </x:c>
      <x:c r="M353" s="12" t="n">
        <x:v>0.2553334406830026</x:v>
      </x:c>
    </x:row>
    <x:row r="354">
      <x:c r="A354" t="str">
        <x:v>ORD-10353</x:v>
      </x:c>
      <x:c r="B354" s="8" t="n">
        <x:v>45801</x:v>
      </x:c>
      <x:c r="C354" t="n">
        <x:v>2025</x:v>
      </x:c>
      <x:c r="D354" t="str">
        <x:v>Italy</x:v>
      </x:c>
      <x:c r="E354" t="str">
        <x:v>Europe</x:v>
      </x:c>
      <x:c r="F354" t="str">
        <x:v>Furniture</x:v>
      </x:c>
      <x:c r="G354" t="str">
        <x:v>Desk</x:v>
      </x:c>
      <x:c r="H354" t="str">
        <x:v>Consumer</x:v>
      </x:c>
      <x:c r="I354" t="n">
        <x:v>73</x:v>
      </x:c>
      <x:c r="J354" s="10" t="n">
        <x:v>13752.77</x:v>
      </x:c>
      <x:c r="K354" s="10" t="n">
        <x:v>11510</x:v>
      </x:c>
      <x:c r="L354" s="10" t="n">
        <x:v>2242.77</x:v>
      </x:c>
      <x:c r="M354" s="12" t="n">
        <x:v>0.16307796733541527</x:v>
      </x:c>
    </x:row>
    <x:row r="355">
      <x:c r="A355" t="str">
        <x:v>ORD-10354</x:v>
      </x:c>
      <x:c r="B355" s="8" t="n">
        <x:v>45809</x:v>
      </x:c>
      <x:c r="C355" t="n">
        <x:v>2025</x:v>
      </x:c>
      <x:c r="D355" t="str">
        <x:v>Italy</x:v>
      </x:c>
      <x:c r="E355" t="str">
        <x:v>Europe</x:v>
      </x:c>
      <x:c r="F355" t="str">
        <x:v>Technology</x:v>
      </x:c>
      <x:c r="G355" t="str">
        <x:v>Laptop</x:v>
      </x:c>
      <x:c r="H355" t="str">
        <x:v>Home Office</x:v>
      </x:c>
      <x:c r="I355" t="n">
        <x:v>68</x:v>
      </x:c>
      <x:c r="J355" s="10" t="n">
        <x:v>24178.91</x:v>
      </x:c>
      <x:c r="K355" s="10" t="n">
        <x:v>16868.45</x:v>
      </x:c>
      <x:c r="L355" s="10" t="n">
        <x:v>7310.46</x:v>
      </x:c>
      <x:c r="M355" s="12" t="n">
        <x:v>0.30234855164625335</x:v>
      </x:c>
    </x:row>
    <x:row r="356">
      <x:c r="A356" t="str">
        <x:v>ORD-10355</x:v>
      </x:c>
      <x:c r="B356" s="8" t="n">
        <x:v>45860</x:v>
      </x:c>
      <x:c r="C356" t="n">
        <x:v>2025</x:v>
      </x:c>
      <x:c r="D356" t="str">
        <x:v>Italy</x:v>
      </x:c>
      <x:c r="E356" t="str">
        <x:v>Europe</x:v>
      </x:c>
      <x:c r="F356" t="str">
        <x:v>Technology</x:v>
      </x:c>
      <x:c r="G356" t="str">
        <x:v>Smartphone</x:v>
      </x:c>
      <x:c r="H356" t="str">
        <x:v>Consumer</x:v>
      </x:c>
      <x:c r="I356" t="n">
        <x:v>27</x:v>
      </x:c>
      <x:c r="J356" s="10" t="n">
        <x:v>9492.45</x:v>
      </x:c>
      <x:c r="K356" s="10" t="n">
        <x:v>7180.35</x:v>
      </x:c>
      <x:c r="L356" s="10" t="n">
        <x:v>2312.1</x:v>
      </x:c>
      <x:c r="M356" s="12" t="n">
        <x:v>0.24357292794983224</x:v>
      </x:c>
    </x:row>
    <x:row r="357">
      <x:c r="A357" t="str">
        <x:v>ORD-10356</x:v>
      </x:c>
      <x:c r="B357" s="8" t="n">
        <x:v>45887</x:v>
      </x:c>
      <x:c r="C357" t="n">
        <x:v>2025</x:v>
      </x:c>
      <x:c r="D357" t="str">
        <x:v>Italy</x:v>
      </x:c>
      <x:c r="E357" t="str">
        <x:v>Europe</x:v>
      </x:c>
      <x:c r="F357" t="str">
        <x:v>Office Supplies</x:v>
      </x:c>
      <x:c r="G357" t="str">
        <x:v>Printer Paper</x:v>
      </x:c>
      <x:c r="H357" t="str">
        <x:v>Consumer</x:v>
      </x:c>
      <x:c r="I357" t="n">
        <x:v>109</x:v>
      </x:c>
      <x:c r="J357" s="10" t="n">
        <x:v>4803.07</x:v>
      </x:c>
      <x:c r="K357" s="10" t="n">
        <x:v>4117.79</x:v>
      </x:c>
      <x:c r="L357" s="10" t="n">
        <x:v>685.28</x:v>
      </x:c>
      <x:c r="M357" s="12" t="n">
        <x:v>0.1426755373784952</x:v>
      </x:c>
    </x:row>
    <x:row r="358">
      <x:c r="A358" t="str">
        <x:v>ORD-10357</x:v>
      </x:c>
      <x:c r="B358" s="8" t="n">
        <x:v>45924</x:v>
      </x:c>
      <x:c r="C358" t="n">
        <x:v>2025</x:v>
      </x:c>
      <x:c r="D358" t="str">
        <x:v>Italy</x:v>
      </x:c>
      <x:c r="E358" t="str">
        <x:v>Europe</x:v>
      </x:c>
      <x:c r="F358" t="str">
        <x:v>Technology</x:v>
      </x:c>
      <x:c r="G358" t="str">
        <x:v>Laptop</x:v>
      </x:c>
      <x:c r="H358" t="str">
        <x:v>Consumer</x:v>
      </x:c>
      <x:c r="I358" t="n">
        <x:v>79</x:v>
      </x:c>
      <x:c r="J358" s="10" t="n">
        <x:v>33792.23</x:v>
      </x:c>
      <x:c r="K358" s="10" t="n">
        <x:v>26422.16</x:v>
      </x:c>
      <x:c r="L358" s="10" t="n">
        <x:v>7370.06</x:v>
      </x:c>
      <x:c r="M358" s="12" t="n">
        <x:v>0.21809938205699875</x:v>
      </x:c>
    </x:row>
    <x:row r="359">
      <x:c r="A359" t="str">
        <x:v>ORD-10358</x:v>
      </x:c>
      <x:c r="B359" s="8" t="n">
        <x:v>45938</x:v>
      </x:c>
      <x:c r="C359" t="n">
        <x:v>2025</x:v>
      </x:c>
      <x:c r="D359" t="str">
        <x:v>Italy</x:v>
      </x:c>
      <x:c r="E359" t="str">
        <x:v>Europe</x:v>
      </x:c>
      <x:c r="F359" t="str">
        <x:v>Office Supplies</x:v>
      </x:c>
      <x:c r="G359" t="str">
        <x:v>Binders</x:v>
      </x:c>
      <x:c r="H359" t="str">
        <x:v>Home Office</x:v>
      </x:c>
      <x:c r="I359" t="n">
        <x:v>91</x:v>
      </x:c>
      <x:c r="J359" s="10" t="n">
        <x:v>6266.38</x:v>
      </x:c>
      <x:c r="K359" s="10" t="n">
        <x:v>5087.01</x:v>
      </x:c>
      <x:c r="L359" s="10" t="n">
        <x:v>1179.37</x:v>
      </x:c>
      <x:c r="M359" s="12" t="n">
        <x:v>0.18820589869081844</x:v>
      </x:c>
    </x:row>
    <x:row r="360">
      <x:c r="A360" t="str">
        <x:v>ORD-10359</x:v>
      </x:c>
      <x:c r="B360" s="8" t="n">
        <x:v>45963</x:v>
      </x:c>
      <x:c r="C360" t="n">
        <x:v>2025</x:v>
      </x:c>
      <x:c r="D360" t="str">
        <x:v>Italy</x:v>
      </x:c>
      <x:c r="E360" t="str">
        <x:v>Europe</x:v>
      </x:c>
      <x:c r="F360" t="str">
        <x:v>Furniture</x:v>
      </x:c>
      <x:c r="G360" t="str">
        <x:v>Desk</x:v>
      </x:c>
      <x:c r="H360" t="str">
        <x:v>Home Office</x:v>
      </x:c>
      <x:c r="I360" t="n">
        <x:v>81</x:v>
      </x:c>
      <x:c r="J360" s="10" t="n">
        <x:v>14063.75</x:v>
      </x:c>
      <x:c r="K360" s="10" t="n">
        <x:v>11728.32</x:v>
      </x:c>
      <x:c r="L360" s="10" t="n">
        <x:v>2335.43</x:v>
      </x:c>
      <x:c r="M360" s="12" t="n">
        <x:v>0.16606011445089044</x:v>
      </x:c>
    </x:row>
    <x:row r="361">
      <x:c r="A361" t="str">
        <x:v>ORD-10360</x:v>
      </x:c>
      <x:c r="B361" s="8" t="n">
        <x:v>46003</x:v>
      </x:c>
      <x:c r="C361" t="n">
        <x:v>2025</x:v>
      </x:c>
      <x:c r="D361" t="str">
        <x:v>Italy</x:v>
      </x:c>
      <x:c r="E361" t="str">
        <x:v>Europe</x:v>
      </x:c>
      <x:c r="F361" t="str">
        <x:v>Office Supplies</x:v>
      </x:c>
      <x:c r="G361" t="str">
        <x:v>Pens</x:v>
      </x:c>
      <x:c r="H361" t="str">
        <x:v>Home Office</x:v>
      </x:c>
      <x:c r="I361" t="n">
        <x:v>101</x:v>
      </x:c>
      <x:c r="J361" s="10" t="n">
        <x:v>5767.47</x:v>
      </x:c>
      <x:c r="K361" s="10" t="n">
        <x:v>4905.38</x:v>
      </x:c>
      <x:c r="L361" s="10" t="n">
        <x:v>862.09</x:v>
      </x:c>
      <x:c r="M361" s="12" t="n">
        <x:v>0.14947449449916247</x:v>
      </x:c>
    </x:row>
    <x:row r="362">
      <x:c r="A362" t="str">
        <x:v>ORD-10361</x:v>
      </x:c>
      <x:c r="B362" s="8" t="n">
        <x:v>45667</x:v>
      </x:c>
      <x:c r="C362" t="n">
        <x:v>2025</x:v>
      </x:c>
      <x:c r="D362" t="str">
        <x:v>India</x:v>
      </x:c>
      <x:c r="E362" t="str">
        <x:v>Asia</x:v>
      </x:c>
      <x:c r="F362" t="str">
        <x:v>Office Supplies</x:v>
      </x:c>
      <x:c r="G362" t="str">
        <x:v>Desk Organizer</x:v>
      </x:c>
      <x:c r="H362" t="str">
        <x:v>Home Office</x:v>
      </x:c>
      <x:c r="I362" t="n">
        <x:v>55</x:v>
      </x:c>
      <x:c r="J362" s="10" t="n">
        <x:v>8362.51</x:v>
      </x:c>
      <x:c r="K362" s="10" t="n">
        <x:v>6865.69</x:v>
      </x:c>
      <x:c r="L362" s="10" t="n">
        <x:v>1496.81</x:v>
      </x:c>
      <x:c r="M362" s="12" t="n">
        <x:v>0.1789911012195506</x:v>
      </x:c>
    </x:row>
    <x:row r="363">
      <x:c r="A363" t="str">
        <x:v>ORD-10362</x:v>
      </x:c>
      <x:c r="B363" s="8" t="n">
        <x:v>45716</x:v>
      </x:c>
      <x:c r="C363" t="n">
        <x:v>2025</x:v>
      </x:c>
      <x:c r="D363" t="str">
        <x:v>India</x:v>
      </x:c>
      <x:c r="E363" t="str">
        <x:v>Asia</x:v>
      </x:c>
      <x:c r="F363" t="str">
        <x:v>Furniture</x:v>
      </x:c>
      <x:c r="G363" t="str">
        <x:v>Desk</x:v>
      </x:c>
      <x:c r="H363" t="str">
        <x:v>Home Office</x:v>
      </x:c>
      <x:c r="I363" t="n">
        <x:v>75</x:v>
      </x:c>
      <x:c r="J363" s="10" t="n">
        <x:v>30283.35</x:v>
      </x:c>
      <x:c r="K363" s="10" t="n">
        <x:v>24316.28</x:v>
      </x:c>
      <x:c r="L363" s="10" t="n">
        <x:v>5967.07</x:v>
      </x:c>
      <x:c r="M363" s="12" t="n">
        <x:v>0.1970413458055882</x:v>
      </x:c>
    </x:row>
    <x:row r="364">
      <x:c r="A364" t="str">
        <x:v>ORD-10363</x:v>
      </x:c>
      <x:c r="B364" s="8" t="n">
        <x:v>45734</x:v>
      </x:c>
      <x:c r="C364" t="n">
        <x:v>2025</x:v>
      </x:c>
      <x:c r="D364" t="str">
        <x:v>India</x:v>
      </x:c>
      <x:c r="E364" t="str">
        <x:v>Asia</x:v>
      </x:c>
      <x:c r="F364" t="str">
        <x:v>Office Supplies</x:v>
      </x:c>
      <x:c r="G364" t="str">
        <x:v>Pens</x:v>
      </x:c>
      <x:c r="H364" t="str">
        <x:v>Corporate</x:v>
      </x:c>
      <x:c r="I364" t="n">
        <x:v>22</x:v>
      </x:c>
      <x:c r="J364" s="10" t="n">
        <x:v>3114.84</x:v>
      </x:c>
      <x:c r="K364" s="10" t="n">
        <x:v>2348.17</x:v>
      </x:c>
      <x:c r="L364" s="10" t="n">
        <x:v>766.67</x:v>
      </x:c>
      <x:c r="M364" s="12" t="n">
        <x:v>0.24613434262559516</x:v>
      </x:c>
    </x:row>
    <x:row r="365">
      <x:c r="A365" t="str">
        <x:v>ORD-10364</x:v>
      </x:c>
      <x:c r="B365" s="8" t="n">
        <x:v>45750</x:v>
      </x:c>
      <x:c r="C365" t="n">
        <x:v>2025</x:v>
      </x:c>
      <x:c r="D365" t="str">
        <x:v>India</x:v>
      </x:c>
      <x:c r="E365" t="str">
        <x:v>Asia</x:v>
      </x:c>
      <x:c r="F365" t="str">
        <x:v>Office Supplies</x:v>
      </x:c>
      <x:c r="G365" t="str">
        <x:v>Pens</x:v>
      </x:c>
      <x:c r="H365" t="str">
        <x:v>Corporate</x:v>
      </x:c>
      <x:c r="I365" t="n">
        <x:v>46</x:v>
      </x:c>
      <x:c r="J365" s="10" t="n">
        <x:v>5408.23</x:v>
      </x:c>
      <x:c r="K365" s="10" t="n">
        <x:v>4490.83</x:v>
      </x:c>
      <x:c r="L365" s="10" t="n">
        <x:v>917.41</x:v>
      </x:c>
      <x:c r="M365" s="12" t="n">
        <x:v>0.16963155923489262</x:v>
      </x:c>
    </x:row>
    <x:row r="366">
      <x:c r="A366" t="str">
        <x:v>ORD-10365</x:v>
      </x:c>
      <x:c r="B366" s="8" t="n">
        <x:v>45786</x:v>
      </x:c>
      <x:c r="C366" t="n">
        <x:v>2025</x:v>
      </x:c>
      <x:c r="D366" t="str">
        <x:v>India</x:v>
      </x:c>
      <x:c r="E366" t="str">
        <x:v>Asia</x:v>
      </x:c>
      <x:c r="F366" t="str">
        <x:v>Furniture</x:v>
      </x:c>
      <x:c r="G366" t="str">
        <x:v>Bookshelf</x:v>
      </x:c>
      <x:c r="H366" t="str">
        <x:v>Consumer</x:v>
      </x:c>
      <x:c r="I366" t="n">
        <x:v>83</x:v>
      </x:c>
      <x:c r="J366" s="10" t="n">
        <x:v>44384.18</x:v>
      </x:c>
      <x:c r="K366" s="10" t="n">
        <x:v>35824.34</x:v>
      </x:c>
      <x:c r="L366" s="10" t="n">
        <x:v>8559.83</x:v>
      </x:c>
      <x:c r="M366" s="12" t="n">
        <x:v>0.19285779421168867</x:v>
      </x:c>
    </x:row>
    <x:row r="367">
      <x:c r="A367" t="str">
        <x:v>ORD-10366</x:v>
      </x:c>
      <x:c r="B367" s="8" t="n">
        <x:v>45830</x:v>
      </x:c>
      <x:c r="C367" t="n">
        <x:v>2025</x:v>
      </x:c>
      <x:c r="D367" t="str">
        <x:v>India</x:v>
      </x:c>
      <x:c r="E367" t="str">
        <x:v>Asia</x:v>
      </x:c>
      <x:c r="F367" t="str">
        <x:v>Furniture</x:v>
      </x:c>
      <x:c r="G367" t="str">
        <x:v>Office Chair</x:v>
      </x:c>
      <x:c r="H367" t="str">
        <x:v>Consumer</x:v>
      </x:c>
      <x:c r="I367" t="n">
        <x:v>39</x:v>
      </x:c>
      <x:c r="J367" s="10" t="n">
        <x:v>21700.86</x:v>
      </x:c>
      <x:c r="K367" s="10" t="n">
        <x:v>16481.58</x:v>
      </x:c>
      <x:c r="L367" s="10" t="n">
        <x:v>5219.27</x:v>
      </x:c>
      <x:c r="M367" s="12" t="n">
        <x:v>0.2405100426593172</x:v>
      </x:c>
    </x:row>
    <x:row r="368">
      <x:c r="A368" t="str">
        <x:v>ORD-10367</x:v>
      </x:c>
      <x:c r="B368" s="8" t="n">
        <x:v>45839</x:v>
      </x:c>
      <x:c r="C368" t="n">
        <x:v>2025</x:v>
      </x:c>
      <x:c r="D368" t="str">
        <x:v>India</x:v>
      </x:c>
      <x:c r="E368" t="str">
        <x:v>Asia</x:v>
      </x:c>
      <x:c r="F368" t="str">
        <x:v>Office Supplies</x:v>
      </x:c>
      <x:c r="G368" t="str">
        <x:v>Pens</x:v>
      </x:c>
      <x:c r="H368" t="str">
        <x:v>Corporate</x:v>
      </x:c>
      <x:c r="I368" t="n">
        <x:v>41</x:v>
      </x:c>
      <x:c r="J368" s="10" t="n">
        <x:v>6788.51</x:v>
      </x:c>
      <x:c r="K368" s="10" t="n">
        <x:v>5634.76</x:v>
      </x:c>
      <x:c r="L368" s="10" t="n">
        <x:v>1153.75</x:v>
      </x:c>
      <x:c r="M368" s="12" t="n">
        <x:v>0.16995571729825854</x:v>
      </x:c>
    </x:row>
    <x:row r="369">
      <x:c r="A369" t="str">
        <x:v>ORD-10368</x:v>
      </x:c>
      <x:c r="B369" s="8" t="n">
        <x:v>45877</x:v>
      </x:c>
      <x:c r="C369" t="n">
        <x:v>2025</x:v>
      </x:c>
      <x:c r="D369" t="str">
        <x:v>India</x:v>
      </x:c>
      <x:c r="E369" t="str">
        <x:v>Asia</x:v>
      </x:c>
      <x:c r="F369" t="str">
        <x:v>Technology</x:v>
      </x:c>
      <x:c r="G369" t="str">
        <x:v>Smartphone</x:v>
      </x:c>
      <x:c r="H369" t="str">
        <x:v>Home Office</x:v>
      </x:c>
      <x:c r="I369" t="n">
        <x:v>30</x:v>
      </x:c>
      <x:c r="J369" s="10" t="n">
        <x:v>26207.36</x:v>
      </x:c>
      <x:c r="K369" s="10" t="n">
        <x:v>17807.39</x:v>
      </x:c>
      <x:c r="L369" s="10" t="n">
        <x:v>8399.98</x:v>
      </x:c>
      <x:c r="M369" s="12" t="n">
        <x:v>0.3205196891536601</x:v>
      </x:c>
    </x:row>
    <x:row r="370">
      <x:c r="A370" t="str">
        <x:v>ORD-10369</x:v>
      </x:c>
      <x:c r="B370" s="8" t="n">
        <x:v>45913</x:v>
      </x:c>
      <x:c r="C370" t="n">
        <x:v>2025</x:v>
      </x:c>
      <x:c r="D370" t="str">
        <x:v>India</x:v>
      </x:c>
      <x:c r="E370" t="str">
        <x:v>Asia</x:v>
      </x:c>
      <x:c r="F370" t="str">
        <x:v>Office Supplies</x:v>
      </x:c>
      <x:c r="G370" t="str">
        <x:v>Pens</x:v>
      </x:c>
      <x:c r="H370" t="str">
        <x:v>Corporate</x:v>
      </x:c>
      <x:c r="I370" t="n">
        <x:v>45</x:v>
      </x:c>
      <x:c r="J370" s="10" t="n">
        <x:v>6335.03</x:v>
      </x:c>
      <x:c r="K370" s="10" t="n">
        <x:v>4921.93</x:v>
      </x:c>
      <x:c r="L370" s="10" t="n">
        <x:v>1413.1</x:v>
      </x:c>
      <x:c r="M370" s="12" t="n">
        <x:v>0.22306166584765239</x:v>
      </x:c>
    </x:row>
    <x:row r="371">
      <x:c r="A371" t="str">
        <x:v>ORD-10370</x:v>
      </x:c>
      <x:c r="B371" s="8" t="n">
        <x:v>45945</x:v>
      </x:c>
      <x:c r="C371" t="n">
        <x:v>2025</x:v>
      </x:c>
      <x:c r="D371" t="str">
        <x:v>India</x:v>
      </x:c>
      <x:c r="E371" t="str">
        <x:v>Asia</x:v>
      </x:c>
      <x:c r="F371" t="str">
        <x:v>Furniture</x:v>
      </x:c>
      <x:c r="G371" t="str">
        <x:v>Bookshelf</x:v>
      </x:c>
      <x:c r="H371" t="str">
        <x:v>Corporate</x:v>
      </x:c>
      <x:c r="I371" t="n">
        <x:v>48</x:v>
      </x:c>
      <x:c r="J371" s="10" t="n">
        <x:v>20924.04</x:v>
      </x:c>
      <x:c r="K371" s="10" t="n">
        <x:v>15150.31</x:v>
      </x:c>
      <x:c r="L371" s="10" t="n">
        <x:v>5773.73</x:v>
      </x:c>
      <x:c r="M371" s="12" t="n">
        <x:v>0.27593743428344486</x:v>
      </x:c>
    </x:row>
    <x:row r="372">
      <x:c r="A372" t="str">
        <x:v>ORD-10371</x:v>
      </x:c>
      <x:c r="B372" s="8" t="n">
        <x:v>45980</x:v>
      </x:c>
      <x:c r="C372" t="n">
        <x:v>2025</x:v>
      </x:c>
      <x:c r="D372" t="str">
        <x:v>India</x:v>
      </x:c>
      <x:c r="E372" t="str">
        <x:v>Asia</x:v>
      </x:c>
      <x:c r="F372" t="str">
        <x:v>Technology</x:v>
      </x:c>
      <x:c r="G372" t="str">
        <x:v>Headphones</x:v>
      </x:c>
      <x:c r="H372" t="str">
        <x:v>Corporate</x:v>
      </x:c>
      <x:c r="I372" t="n">
        <x:v>41</x:v>
      </x:c>
      <x:c r="J372" s="10" t="n">
        <x:v>29069.53</x:v>
      </x:c>
      <x:c r="K372" s="10" t="n">
        <x:v>20939.61</x:v>
      </x:c>
      <x:c r="L372" s="10" t="n">
        <x:v>8129.92</x:v>
      </x:c>
      <x:c r="M372" s="12" t="n">
        <x:v>0.279671620469435</x:v>
      </x:c>
    </x:row>
    <x:row r="373">
      <x:c r="A373" t="str">
        <x:v>ORD-10372</x:v>
      </x:c>
      <x:c r="B373" s="8" t="n">
        <x:v>46015</x:v>
      </x:c>
      <x:c r="C373" t="n">
        <x:v>2025</x:v>
      </x:c>
      <x:c r="D373" t="str">
        <x:v>India</x:v>
      </x:c>
      <x:c r="E373" t="str">
        <x:v>Asia</x:v>
      </x:c>
      <x:c r="F373" t="str">
        <x:v>Technology</x:v>
      </x:c>
      <x:c r="G373" t="str">
        <x:v>Smartphone</x:v>
      </x:c>
      <x:c r="H373" t="str">
        <x:v>Consumer</x:v>
      </x:c>
      <x:c r="I373" t="n">
        <x:v>48</x:v>
      </x:c>
      <x:c r="J373" s="10" t="n">
        <x:v>37867.12</x:v>
      </x:c>
      <x:c r="K373" s="10" t="n">
        <x:v>26503.81</x:v>
      </x:c>
      <x:c r="L373" s="10" t="n">
        <x:v>11363.31</x:v>
      </x:c>
      <x:c r="M373" s="12" t="n">
        <x:v>0.3000838278941597</x:v>
      </x:c>
    </x:row>
    <x:row r="374">
      <x:c r="A374" t="str">
        <x:v>ORD-10373</x:v>
      </x:c>
      <x:c r="B374" s="8" t="n">
        <x:v>45684</x:v>
      </x:c>
      <x:c r="C374" t="n">
        <x:v>2025</x:v>
      </x:c>
      <x:c r="D374" t="str">
        <x:v>China</x:v>
      </x:c>
      <x:c r="E374" t="str">
        <x:v>Asia</x:v>
      </x:c>
      <x:c r="F374" t="str">
        <x:v>Furniture</x:v>
      </x:c>
      <x:c r="G374" t="str">
        <x:v>Bookshelf</x:v>
      </x:c>
      <x:c r="H374" t="str">
        <x:v>Consumer</x:v>
      </x:c>
      <x:c r="I374" t="n">
        <x:v>40</x:v>
      </x:c>
      <x:c r="J374" s="10" t="n">
        <x:v>16088.84</x:v>
      </x:c>
      <x:c r="K374" s="10" t="n">
        <x:v>12620.4</x:v>
      </x:c>
      <x:c r="L374" s="10" t="n">
        <x:v>3468.45</x:v>
      </x:c>
      <x:c r="M374" s="12" t="n">
        <x:v>0.21558077296893846</x:v>
      </x:c>
    </x:row>
    <x:row r="375">
      <x:c r="A375" t="str">
        <x:v>ORD-10374</x:v>
      </x:c>
      <x:c r="B375" s="8" t="n">
        <x:v>45713</x:v>
      </x:c>
      <x:c r="C375" t="n">
        <x:v>2025</x:v>
      </x:c>
      <x:c r="D375" t="str">
        <x:v>China</x:v>
      </x:c>
      <x:c r="E375" t="str">
        <x:v>Asia</x:v>
      </x:c>
      <x:c r="F375" t="str">
        <x:v>Technology</x:v>
      </x:c>
      <x:c r="G375" t="str">
        <x:v>Headphones</x:v>
      </x:c>
      <x:c r="H375" t="str">
        <x:v>Home Office</x:v>
      </x:c>
      <x:c r="I375" t="n">
        <x:v>98</x:v>
      </x:c>
      <x:c r="J375" s="10" t="n">
        <x:v>88405.11</x:v>
      </x:c>
      <x:c r="K375" s="10" t="n">
        <x:v>64490.85</x:v>
      </x:c>
      <x:c r="L375" s="10" t="n">
        <x:v>23914.27</x:v>
      </x:c>
      <x:c r="M375" s="12" t="n">
        <x:v>0.2705077140843809</x:v>
      </x:c>
    </x:row>
    <x:row r="376">
      <x:c r="A376" t="str">
        <x:v>ORD-10375</x:v>
      </x:c>
      <x:c r="B376" s="8" t="n">
        <x:v>45721</x:v>
      </x:c>
      <x:c r="C376" t="n">
        <x:v>2025</x:v>
      </x:c>
      <x:c r="D376" t="str">
        <x:v>China</x:v>
      </x:c>
      <x:c r="E376" t="str">
        <x:v>Asia</x:v>
      </x:c>
      <x:c r="F376" t="str">
        <x:v>Furniture</x:v>
      </x:c>
      <x:c r="G376" t="str">
        <x:v>Storage Cabinet</x:v>
      </x:c>
      <x:c r="H376" t="str">
        <x:v>Corporate</x:v>
      </x:c>
      <x:c r="I376" t="n">
        <x:v>36</x:v>
      </x:c>
      <x:c r="J376" s="10" t="n">
        <x:v>18172.73</x:v>
      </x:c>
      <x:c r="K376" s="10" t="n">
        <x:v>14315.36</x:v>
      </x:c>
      <x:c r="L376" s="10" t="n">
        <x:v>3857.36</x:v>
      </x:c>
      <x:c r="M376" s="12" t="n">
        <x:v>0.21226114019983916</x:v>
      </x:c>
    </x:row>
    <x:row r="377">
      <x:c r="A377" t="str">
        <x:v>ORD-10376</x:v>
      </x:c>
      <x:c r="B377" s="8" t="n">
        <x:v>45764</x:v>
      </x:c>
      <x:c r="C377" t="n">
        <x:v>2025</x:v>
      </x:c>
      <x:c r="D377" t="str">
        <x:v>China</x:v>
      </x:c>
      <x:c r="E377" t="str">
        <x:v>Asia</x:v>
      </x:c>
      <x:c r="F377" t="str">
        <x:v>Office Supplies</x:v>
      </x:c>
      <x:c r="G377" t="str">
        <x:v>Desk Organizer</x:v>
      </x:c>
      <x:c r="H377" t="str">
        <x:v>Consumer</x:v>
      </x:c>
      <x:c r="I377" t="n">
        <x:v>84</x:v>
      </x:c>
      <x:c r="J377" s="10" t="n">
        <x:v>13820.47</x:v>
      </x:c>
      <x:c r="K377" s="10" t="n">
        <x:v>10436.27</x:v>
      </x:c>
      <x:c r="L377" s="10" t="n">
        <x:v>3384.2</x:v>
      </x:c>
      <x:c r="M377" s="12" t="n">
        <x:v>0.24486842726951719</x:v>
      </x:c>
    </x:row>
    <x:row r="378">
      <x:c r="A378" t="str">
        <x:v>ORD-10377</x:v>
      </x:c>
      <x:c r="B378" s="8" t="n">
        <x:v>45804</x:v>
      </x:c>
      <x:c r="C378" t="n">
        <x:v>2025</x:v>
      </x:c>
      <x:c r="D378" t="str">
        <x:v>China</x:v>
      </x:c>
      <x:c r="E378" t="str">
        <x:v>Asia</x:v>
      </x:c>
      <x:c r="F378" t="str">
        <x:v>Technology</x:v>
      </x:c>
      <x:c r="G378" t="str">
        <x:v>Laptop</x:v>
      </x:c>
      <x:c r="H378" t="str">
        <x:v>Home Office</x:v>
      </x:c>
      <x:c r="I378" t="n">
        <x:v>21</x:v>
      </x:c>
      <x:c r="J378" s="10" t="n">
        <x:v>17396.93</x:v>
      </x:c>
      <x:c r="K378" s="10" t="n">
        <x:v>12534.71</x:v>
      </x:c>
      <x:c r="L378" s="10" t="n">
        <x:v>4862.22</x:v>
      </x:c>
      <x:c r="M378" s="12" t="n">
        <x:v>0.27948706668987106</x:v>
      </x:c>
    </x:row>
    <x:row r="379">
      <x:c r="A379" t="str">
        <x:v>ORD-10378</x:v>
      </x:c>
      <x:c r="B379" s="8" t="n">
        <x:v>45823</x:v>
      </x:c>
      <x:c r="C379" t="n">
        <x:v>2025</x:v>
      </x:c>
      <x:c r="D379" t="str">
        <x:v>China</x:v>
      </x:c>
      <x:c r="E379" t="str">
        <x:v>Asia</x:v>
      </x:c>
      <x:c r="F379" t="str">
        <x:v>Office Supplies</x:v>
      </x:c>
      <x:c r="G379" t="str">
        <x:v>Pens</x:v>
      </x:c>
      <x:c r="H379" t="str">
        <x:v>Consumer</x:v>
      </x:c>
      <x:c r="I379" t="n">
        <x:v>105</x:v>
      </x:c>
      <x:c r="J379" s="10" t="n">
        <x:v>10803.62</x:v>
      </x:c>
      <x:c r="K379" s="10" t="n">
        <x:v>9115.59</x:v>
      </x:c>
      <x:c r="L379" s="10" t="n">
        <x:v>1688.03</x:v>
      </x:c>
      <x:c r="M379" s="12" t="n">
        <x:v>0.15624636069452733</x:v>
      </x:c>
    </x:row>
    <x:row r="380">
      <x:c r="A380" t="str">
        <x:v>ORD-10379</x:v>
      </x:c>
      <x:c r="B380" s="8" t="n">
        <x:v>45854</x:v>
      </x:c>
      <x:c r="C380" t="n">
        <x:v>2025</x:v>
      </x:c>
      <x:c r="D380" t="str">
        <x:v>China</x:v>
      </x:c>
      <x:c r="E380" t="str">
        <x:v>Asia</x:v>
      </x:c>
      <x:c r="F380" t="str">
        <x:v>Furniture</x:v>
      </x:c>
      <x:c r="G380" t="str">
        <x:v>Office Chair</x:v>
      </x:c>
      <x:c r="H380" t="str">
        <x:v>Home Office</x:v>
      </x:c>
      <x:c r="I380" t="n">
        <x:v>96</x:v>
      </x:c>
      <x:c r="J380" s="10" t="n">
        <x:v>46847.08</x:v>
      </x:c>
      <x:c r="K380" s="10" t="n">
        <x:v>35417.22</x:v>
      </x:c>
      <x:c r="L380" s="10" t="n">
        <x:v>11429.86</x:v>
      </x:c>
      <x:c r="M380" s="12" t="n">
        <x:v>0.24398232333012065</x:v>
      </x:c>
    </x:row>
    <x:row r="381">
      <x:c r="A381" t="str">
        <x:v>ORD-10380</x:v>
      </x:c>
      <x:c r="B381" s="8" t="n">
        <x:v>45870</x:v>
      </x:c>
      <x:c r="C381" t="n">
        <x:v>2025</x:v>
      </x:c>
      <x:c r="D381" t="str">
        <x:v>China</x:v>
      </x:c>
      <x:c r="E381" t="str">
        <x:v>Asia</x:v>
      </x:c>
      <x:c r="F381" t="str">
        <x:v>Office Supplies</x:v>
      </x:c>
      <x:c r="G381" t="str">
        <x:v>Desk Organizer</x:v>
      </x:c>
      <x:c r="H381" t="str">
        <x:v>Consumer</x:v>
      </x:c>
      <x:c r="I381" t="n">
        <x:v>15</x:v>
      </x:c>
      <x:c r="J381" s="10" t="n">
        <x:v>1963.29</x:v>
      </x:c>
      <x:c r="K381" s="10" t="n">
        <x:v>1611.15</x:v>
      </x:c>
      <x:c r="L381" s="10" t="n">
        <x:v>352.14</x:v>
      </x:c>
      <x:c r="M381" s="12" t="n">
        <x:v>0.17936062098608993</x:v>
      </x:c>
    </x:row>
    <x:row r="382">
      <x:c r="A382" t="str">
        <x:v>ORD-10381</x:v>
      </x:c>
      <x:c r="B382" s="8" t="n">
        <x:v>45922</x:v>
      </x:c>
      <x:c r="C382" t="n">
        <x:v>2025</x:v>
      </x:c>
      <x:c r="D382" t="str">
        <x:v>China</x:v>
      </x:c>
      <x:c r="E382" t="str">
        <x:v>Asia</x:v>
      </x:c>
      <x:c r="F382" t="str">
        <x:v>Office Supplies</x:v>
      </x:c>
      <x:c r="G382" t="str">
        <x:v>Binders</x:v>
      </x:c>
      <x:c r="H382" t="str">
        <x:v>Home Office</x:v>
      </x:c>
      <x:c r="I382" t="n">
        <x:v>51</x:v>
      </x:c>
      <x:c r="J382" s="10" t="n">
        <x:v>4746.01</x:v>
      </x:c>
      <x:c r="K382" s="10" t="n">
        <x:v>3665.92</x:v>
      </x:c>
      <x:c r="L382" s="10" t="n">
        <x:v>1080.09</x:v>
      </x:c>
      <x:c r="M382" s="12" t="n">
        <x:v>0.22757886650966921</x:v>
      </x:c>
    </x:row>
    <x:row r="383">
      <x:c r="A383" t="str">
        <x:v>ORD-10382</x:v>
      </x:c>
      <x:c r="B383" s="8" t="n">
        <x:v>45950</x:v>
      </x:c>
      <x:c r="C383" t="n">
        <x:v>2025</x:v>
      </x:c>
      <x:c r="D383" t="str">
        <x:v>China</x:v>
      </x:c>
      <x:c r="E383" t="str">
        <x:v>Asia</x:v>
      </x:c>
      <x:c r="F383" t="str">
        <x:v>Furniture</x:v>
      </x:c>
      <x:c r="G383" t="str">
        <x:v>Desk</x:v>
      </x:c>
      <x:c r="H383" t="str">
        <x:v>Consumer</x:v>
      </x:c>
      <x:c r="I383" t="n">
        <x:v>27</x:v>
      </x:c>
      <x:c r="J383" s="10" t="n">
        <x:v>12197.1</x:v>
      </x:c>
      <x:c r="K383" s="10" t="n">
        <x:v>9770.9</x:v>
      </x:c>
      <x:c r="L383" s="10" t="n">
        <x:v>2426.2</x:v>
      </x:c>
      <x:c r="M383" s="12" t="n">
        <x:v>0.1989162598776209</x:v>
      </x:c>
    </x:row>
    <x:row r="384">
      <x:c r="A384" t="str">
        <x:v>ORD-10383</x:v>
      </x:c>
      <x:c r="B384" s="8" t="n">
        <x:v>45974</x:v>
      </x:c>
      <x:c r="C384" t="n">
        <x:v>2025</x:v>
      </x:c>
      <x:c r="D384" t="str">
        <x:v>China</x:v>
      </x:c>
      <x:c r="E384" t="str">
        <x:v>Asia</x:v>
      </x:c>
      <x:c r="F384" t="str">
        <x:v>Office Supplies</x:v>
      </x:c>
      <x:c r="G384" t="str">
        <x:v>Binders</x:v>
      </x:c>
      <x:c r="H384" t="str">
        <x:v>Corporate</x:v>
      </x:c>
      <x:c r="I384" t="n">
        <x:v>49</x:v>
      </x:c>
      <x:c r="J384" s="10" t="n">
        <x:v>7358.83</x:v>
      </x:c>
      <x:c r="K384" s="10" t="n">
        <x:v>6332.4</x:v>
      </x:c>
      <x:c r="L384" s="10" t="n">
        <x:v>1026.43</x:v>
      </x:c>
      <x:c r="M384" s="12" t="n">
        <x:v>0.13948230925773217</x:v>
      </x:c>
    </x:row>
    <x:row r="385">
      <x:c r="A385" t="str">
        <x:v>ORD-10384</x:v>
      </x:c>
      <x:c r="B385" s="8" t="n">
        <x:v>45994</x:v>
      </x:c>
      <x:c r="C385" t="n">
        <x:v>2025</x:v>
      </x:c>
      <x:c r="D385" t="str">
        <x:v>China</x:v>
      </x:c>
      <x:c r="E385" t="str">
        <x:v>Asia</x:v>
      </x:c>
      <x:c r="F385" t="str">
        <x:v>Furniture</x:v>
      </x:c>
      <x:c r="G385" t="str">
        <x:v>Desk</x:v>
      </x:c>
      <x:c r="H385" t="str">
        <x:v>Home Office</x:v>
      </x:c>
      <x:c r="I385" t="n">
        <x:v>43</x:v>
      </x:c>
      <x:c r="J385" s="10" t="n">
        <x:v>16968.28</x:v>
      </x:c>
      <x:c r="K385" s="10" t="n">
        <x:v>12397.58</x:v>
      </x:c>
      <x:c r="L385" s="10" t="n">
        <x:v>4570.7</x:v>
      </x:c>
      <x:c r="M385" s="12" t="n">
        <x:v>0.26936744944560564</x:v>
      </x:c>
    </x:row>
    <x:row r="386">
      <x:c r="A386" t="str">
        <x:v>ORD-10385</x:v>
      </x:c>
      <x:c r="B386" s="8" t="n">
        <x:v>45659</x:v>
      </x:c>
      <x:c r="C386" t="n">
        <x:v>2025</x:v>
      </x:c>
      <x:c r="D386" t="str">
        <x:v>Japan</x:v>
      </x:c>
      <x:c r="E386" t="str">
        <x:v>Asia</x:v>
      </x:c>
      <x:c r="F386" t="str">
        <x:v>Office Supplies</x:v>
      </x:c>
      <x:c r="G386" t="str">
        <x:v>Printer Paper</x:v>
      </x:c>
      <x:c r="H386" t="str">
        <x:v>Consumer</x:v>
      </x:c>
      <x:c r="I386" t="n">
        <x:v>66</x:v>
      </x:c>
      <x:c r="J386" s="10" t="n">
        <x:v>5620.4</x:v>
      </x:c>
      <x:c r="K386" s="10" t="n">
        <x:v>4516.98</x:v>
      </x:c>
      <x:c r="L386" s="10" t="n">
        <x:v>1103.42</x:v>
      </x:c>
      <x:c r="M386" s="12" t="n">
        <x:v>0.19632417274356342</x:v>
      </x:c>
    </x:row>
    <x:row r="387">
      <x:c r="A387" t="str">
        <x:v>ORD-10386</x:v>
      </x:c>
      <x:c r="B387" s="8" t="n">
        <x:v>45709</x:v>
      </x:c>
      <x:c r="C387" t="n">
        <x:v>2025</x:v>
      </x:c>
      <x:c r="D387" t="str">
        <x:v>Japan</x:v>
      </x:c>
      <x:c r="E387" t="str">
        <x:v>Asia</x:v>
      </x:c>
      <x:c r="F387" t="str">
        <x:v>Office Supplies</x:v>
      </x:c>
      <x:c r="G387" t="str">
        <x:v>Printer Paper</x:v>
      </x:c>
      <x:c r="H387" t="str">
        <x:v>Home Office</x:v>
      </x:c>
      <x:c r="I387" t="n">
        <x:v>36</x:v>
      </x:c>
      <x:c r="J387" s="10" t="n">
        <x:v>2507.62</x:v>
      </x:c>
      <x:c r="K387" s="10" t="n">
        <x:v>1927.26</x:v>
      </x:c>
      <x:c r="L387" s="10" t="n">
        <x:v>580.36</x:v>
      </x:c>
      <x:c r="M387" s="12" t="n">
        <x:v>0.23143957534483936</x:v>
      </x:c>
    </x:row>
    <x:row r="388">
      <x:c r="A388" t="str">
        <x:v>ORD-10387</x:v>
      </x:c>
      <x:c r="B388" s="8" t="n">
        <x:v>45739</x:v>
      </x:c>
      <x:c r="C388" t="n">
        <x:v>2025</x:v>
      </x:c>
      <x:c r="D388" t="str">
        <x:v>Japan</x:v>
      </x:c>
      <x:c r="E388" t="str">
        <x:v>Asia</x:v>
      </x:c>
      <x:c r="F388" t="str">
        <x:v>Furniture</x:v>
      </x:c>
      <x:c r="G388" t="str">
        <x:v>Office Chair</x:v>
      </x:c>
      <x:c r="H388" t="str">
        <x:v>Home Office</x:v>
      </x:c>
      <x:c r="I388" t="n">
        <x:v>20</x:v>
      </x:c>
      <x:c r="J388" s="10" t="n">
        <x:v>5362.5</x:v>
      </x:c>
      <x:c r="K388" s="10" t="n">
        <x:v>3870.9</x:v>
      </x:c>
      <x:c r="L388" s="10" t="n">
        <x:v>1491.59</x:v>
      </x:c>
      <x:c r="M388" s="12" t="n">
        <x:v>0.27815275508295023</x:v>
      </x:c>
    </x:row>
    <x:row r="389">
      <x:c r="A389" t="str">
        <x:v>ORD-10388</x:v>
      </x:c>
      <x:c r="B389" s="8" t="n">
        <x:v>45756</x:v>
      </x:c>
      <x:c r="C389" t="n">
        <x:v>2025</x:v>
      </x:c>
      <x:c r="D389" t="str">
        <x:v>Japan</x:v>
      </x:c>
      <x:c r="E389" t="str">
        <x:v>Asia</x:v>
      </x:c>
      <x:c r="F389" t="str">
        <x:v>Office Supplies</x:v>
      </x:c>
      <x:c r="G389" t="str">
        <x:v>Desk Organizer</x:v>
      </x:c>
      <x:c r="H389" t="str">
        <x:v>Corporate</x:v>
      </x:c>
      <x:c r="I389" t="n">
        <x:v>20</x:v>
      </x:c>
      <x:c r="J389" s="10" t="n">
        <x:v>2272.76</x:v>
      </x:c>
      <x:c r="K389" s="10" t="n">
        <x:v>1790.63</x:v>
      </x:c>
      <x:c r="L389" s="10" t="n">
        <x:v>482.12</x:v>
      </x:c>
      <x:c r="M389" s="12" t="n">
        <x:v>0.21213144921563698</x:v>
      </x:c>
    </x:row>
    <x:row r="390">
      <x:c r="A390" t="str">
        <x:v>ORD-10389</x:v>
      </x:c>
      <x:c r="B390" s="8" t="n">
        <x:v>45782</x:v>
      </x:c>
      <x:c r="C390" t="n">
        <x:v>2025</x:v>
      </x:c>
      <x:c r="D390" t="str">
        <x:v>Japan</x:v>
      </x:c>
      <x:c r="E390" t="str">
        <x:v>Asia</x:v>
      </x:c>
      <x:c r="F390" t="str">
        <x:v>Office Supplies</x:v>
      </x:c>
      <x:c r="G390" t="str">
        <x:v>Printer Paper</x:v>
      </x:c>
      <x:c r="H390" t="str">
        <x:v>Consumer</x:v>
      </x:c>
      <x:c r="I390" t="n">
        <x:v>55</x:v>
      </x:c>
      <x:c r="J390" s="10" t="n">
        <x:v>3638.4</x:v>
      </x:c>
      <x:c r="K390" s="10" t="n">
        <x:v>3074.96</x:v>
      </x:c>
      <x:c r="L390" s="10" t="n">
        <x:v>563.44</x:v>
      </x:c>
      <x:c r="M390" s="12" t="n">
        <x:v>0.15485897384915</x:v>
      </x:c>
    </x:row>
    <x:row r="391">
      <x:c r="A391" t="str">
        <x:v>ORD-10390</x:v>
      </x:c>
      <x:c r="B391" s="8" t="n">
        <x:v>45835</x:v>
      </x:c>
      <x:c r="C391" t="n">
        <x:v>2025</x:v>
      </x:c>
      <x:c r="D391" t="str">
        <x:v>Japan</x:v>
      </x:c>
      <x:c r="E391" t="str">
        <x:v>Asia</x:v>
      </x:c>
      <x:c r="F391" t="str">
        <x:v>Office Supplies</x:v>
      </x:c>
      <x:c r="G391" t="str">
        <x:v>Desk Organizer</x:v>
      </x:c>
      <x:c r="H391" t="str">
        <x:v>Consumer</x:v>
      </x:c>
      <x:c r="I391" t="n">
        <x:v>53</x:v>
      </x:c>
      <x:c r="J391" s="10" t="n">
        <x:v>3912.74</x:v>
      </x:c>
      <x:c r="K391" s="10" t="n">
        <x:v>3291.17</x:v>
      </x:c>
      <x:c r="L391" s="10" t="n">
        <x:v>621.56</x:v>
      </x:c>
      <x:c r="M391" s="12" t="n">
        <x:v>0.15885666331651435</x:v>
      </x:c>
    </x:row>
    <x:row r="392">
      <x:c r="A392" t="str">
        <x:v>ORD-10391</x:v>
      </x:c>
      <x:c r="B392" s="8" t="n">
        <x:v>45861</x:v>
      </x:c>
      <x:c r="C392" t="n">
        <x:v>2025</x:v>
      </x:c>
      <x:c r="D392" t="str">
        <x:v>Japan</x:v>
      </x:c>
      <x:c r="E392" t="str">
        <x:v>Asia</x:v>
      </x:c>
      <x:c r="F392" t="str">
        <x:v>Furniture</x:v>
      </x:c>
      <x:c r="G392" t="str">
        <x:v>Bookshelf</x:v>
      </x:c>
      <x:c r="H392" t="str">
        <x:v>Corporate</x:v>
      </x:c>
      <x:c r="I392" t="n">
        <x:v>111</x:v>
      </x:c>
      <x:c r="J392" s="10" t="n">
        <x:v>40018.82</x:v>
      </x:c>
      <x:c r="K392" s="10" t="n">
        <x:v>29419.44</x:v>
      </x:c>
      <x:c r="L392" s="10" t="n">
        <x:v>10599.37</x:v>
      </x:c>
      <x:c r="M392" s="12" t="n">
        <x:v>0.2648597702280979</x:v>
      </x:c>
    </x:row>
    <x:row r="393">
      <x:c r="A393" t="str">
        <x:v>ORD-10392</x:v>
      </x:c>
      <x:c r="B393" s="8" t="n">
        <x:v>45883</x:v>
      </x:c>
      <x:c r="C393" t="n">
        <x:v>2025</x:v>
      </x:c>
      <x:c r="D393" t="str">
        <x:v>Japan</x:v>
      </x:c>
      <x:c r="E393" t="str">
        <x:v>Asia</x:v>
      </x:c>
      <x:c r="F393" t="str">
        <x:v>Office Supplies</x:v>
      </x:c>
      <x:c r="G393" t="str">
        <x:v>Printer Paper</x:v>
      </x:c>
      <x:c r="H393" t="str">
        <x:v>Home Office</x:v>
      </x:c>
      <x:c r="I393" t="n">
        <x:v>110</x:v>
      </x:c>
      <x:c r="J393" s="10" t="n">
        <x:v>12788.58</x:v>
      </x:c>
      <x:c r="K393" s="10" t="n">
        <x:v>11043.66</x:v>
      </x:c>
      <x:c r="L393" s="10" t="n">
        <x:v>1744.92</x:v>
      </x:c>
      <x:c r="M393" s="12" t="n">
        <x:v>0.13644357183368727</x:v>
      </x:c>
    </x:row>
    <x:row r="394">
      <x:c r="A394" t="str">
        <x:v>ORD-10393</x:v>
      </x:c>
      <x:c r="B394" s="8" t="n">
        <x:v>45913</x:v>
      </x:c>
      <x:c r="C394" t="n">
        <x:v>2025</x:v>
      </x:c>
      <x:c r="D394" t="str">
        <x:v>Japan</x:v>
      </x:c>
      <x:c r="E394" t="str">
        <x:v>Asia</x:v>
      </x:c>
      <x:c r="F394" t="str">
        <x:v>Technology</x:v>
      </x:c>
      <x:c r="G394" t="str">
        <x:v>Laptop</x:v>
      </x:c>
      <x:c r="H394" t="str">
        <x:v>Corporate</x:v>
      </x:c>
      <x:c r="I394" t="n">
        <x:v>92</x:v>
      </x:c>
      <x:c r="J394" s="10" t="n">
        <x:v>54368.22</x:v>
      </x:c>
      <x:c r="K394" s="10" t="n">
        <x:v>35633.86</x:v>
      </x:c>
      <x:c r="L394" s="10" t="n">
        <x:v>18734.36</x:v>
      </x:c>
      <x:c r="M394" s="12" t="n">
        <x:v>0.3445830076297598</x:v>
      </x:c>
    </x:row>
    <x:row r="395">
      <x:c r="A395" t="str">
        <x:v>ORD-10394</x:v>
      </x:c>
      <x:c r="B395" s="8" t="n">
        <x:v>45938</x:v>
      </x:c>
      <x:c r="C395" t="n">
        <x:v>2025</x:v>
      </x:c>
      <x:c r="D395" t="str">
        <x:v>Japan</x:v>
      </x:c>
      <x:c r="E395" t="str">
        <x:v>Asia</x:v>
      </x:c>
      <x:c r="F395" t="str">
        <x:v>Furniture</x:v>
      </x:c>
      <x:c r="G395" t="str">
        <x:v>Office Chair</x:v>
      </x:c>
      <x:c r="H395" t="str">
        <x:v>Home Office</x:v>
      </x:c>
      <x:c r="I395" t="n">
        <x:v>49</x:v>
      </x:c>
      <x:c r="J395" s="10" t="n">
        <x:v>18054.87</x:v>
      </x:c>
      <x:c r="K395" s="10" t="n">
        <x:v>14009.39</x:v>
      </x:c>
      <x:c r="L395" s="10" t="n">
        <x:v>4045.48</x:v>
      </x:c>
      <x:c r="M395" s="12" t="n">
        <x:v>0.22406602337116308</x:v>
      </x:c>
    </x:row>
    <x:row r="396">
      <x:c r="A396" t="str">
        <x:v>ORD-10395</x:v>
      </x:c>
      <x:c r="B396" s="8" t="n">
        <x:v>45964</x:v>
      </x:c>
      <x:c r="C396" t="n">
        <x:v>2025</x:v>
      </x:c>
      <x:c r="D396" t="str">
        <x:v>Japan</x:v>
      </x:c>
      <x:c r="E396" t="str">
        <x:v>Asia</x:v>
      </x:c>
      <x:c r="F396" t="str">
        <x:v>Furniture</x:v>
      </x:c>
      <x:c r="G396" t="str">
        <x:v>Storage Cabinet</x:v>
      </x:c>
      <x:c r="H396" t="str">
        <x:v>Corporate</x:v>
      </x:c>
      <x:c r="I396" t="n">
        <x:v>38</x:v>
      </x:c>
      <x:c r="J396" s="10" t="n">
        <x:v>13286.67</x:v>
      </x:c>
      <x:c r="K396" s="10" t="n">
        <x:v>9974.56</x:v>
      </x:c>
      <x:c r="L396" s="10" t="n">
        <x:v>3312.11</x:v>
      </x:c>
      <x:c r="M396" s="12" t="n">
        <x:v>0.24928062890178498</x:v>
      </x:c>
    </x:row>
    <x:row r="397">
      <x:c r="A397" t="str">
        <x:v>ORD-10396</x:v>
      </x:c>
      <x:c r="B397" s="8" t="n">
        <x:v>46004</x:v>
      </x:c>
      <x:c r="C397" t="n">
        <x:v>2025</x:v>
      </x:c>
      <x:c r="D397" t="str">
        <x:v>Japan</x:v>
      </x:c>
      <x:c r="E397" t="str">
        <x:v>Asia</x:v>
      </x:c>
      <x:c r="F397" t="str">
        <x:v>Office Supplies</x:v>
      </x:c>
      <x:c r="G397" t="str">
        <x:v>Binders</x:v>
      </x:c>
      <x:c r="H397" t="str">
        <x:v>Consumer</x:v>
      </x:c>
      <x:c r="I397" t="n">
        <x:v>106</x:v>
      </x:c>
      <x:c r="J397" s="10" t="n">
        <x:v>7332.7</x:v>
      </x:c>
      <x:c r="K397" s="10" t="n">
        <x:v>6143.65</x:v>
      </x:c>
      <x:c r="L397" s="10" t="n">
        <x:v>1189.05</x:v>
      </x:c>
      <x:c r="M397" s="12" t="n">
        <x:v>0.16215664370735378</x:v>
      </x:c>
    </x:row>
    <x:row r="398">
      <x:c r="A398" t="str">
        <x:v>ORD-10397</x:v>
      </x:c>
      <x:c r="B398" s="8" t="n">
        <x:v>45658</x:v>
      </x:c>
      <x:c r="C398" t="n">
        <x:v>2025</x:v>
      </x:c>
      <x:c r="D398" t="str">
        <x:v>Singapore</x:v>
      </x:c>
      <x:c r="E398" t="str">
        <x:v>Asia</x:v>
      </x:c>
      <x:c r="F398" t="str">
        <x:v>Office Supplies</x:v>
      </x:c>
      <x:c r="G398" t="str">
        <x:v>Pens</x:v>
      </x:c>
      <x:c r="H398" t="str">
        <x:v>Home Office</x:v>
      </x:c>
      <x:c r="I398" t="n">
        <x:v>64</x:v>
      </x:c>
      <x:c r="J398" s="10" t="n">
        <x:v>4078.88</x:v>
      </x:c>
      <x:c r="K398" s="10" t="n">
        <x:v>3496.47</x:v>
      </x:c>
      <x:c r="L398" s="10" t="n">
        <x:v>582.41</x:v>
      </x:c>
      <x:c r="M398" s="12" t="n">
        <x:v>0.14278611012535136</x:v>
      </x:c>
    </x:row>
    <x:row r="399">
      <x:c r="A399" t="str">
        <x:v>ORD-10398</x:v>
      </x:c>
      <x:c r="B399" s="8" t="n">
        <x:v>45694</x:v>
      </x:c>
      <x:c r="C399" t="n">
        <x:v>2025</x:v>
      </x:c>
      <x:c r="D399" t="str">
        <x:v>Singapore</x:v>
      </x:c>
      <x:c r="E399" t="str">
        <x:v>Asia</x:v>
      </x:c>
      <x:c r="F399" t="str">
        <x:v>Furniture</x:v>
      </x:c>
      <x:c r="G399" t="str">
        <x:v>Storage Cabinet</x:v>
      </x:c>
      <x:c r="H399" t="str">
        <x:v>Corporate</x:v>
      </x:c>
      <x:c r="I399" t="n">
        <x:v>112</x:v>
      </x:c>
      <x:c r="J399" s="10" t="n">
        <x:v>24004.24</x:v>
      </x:c>
      <x:c r="K399" s="10" t="n">
        <x:v>19541.83</x:v>
      </x:c>
      <x:c r="L399" s="10" t="n">
        <x:v>4462.41</x:v>
      </x:c>
      <x:c r="M399" s="12" t="n">
        <x:v>0.1859008405393039</x:v>
      </x:c>
    </x:row>
    <x:row r="400">
      <x:c r="A400" t="str">
        <x:v>ORD-10399</x:v>
      </x:c>
      <x:c r="B400" s="8" t="n">
        <x:v>45719</x:v>
      </x:c>
      <x:c r="C400" t="n">
        <x:v>2025</x:v>
      </x:c>
      <x:c r="D400" t="str">
        <x:v>Singapore</x:v>
      </x:c>
      <x:c r="E400" t="str">
        <x:v>Asia</x:v>
      </x:c>
      <x:c r="F400" t="str">
        <x:v>Furniture</x:v>
      </x:c>
      <x:c r="G400" t="str">
        <x:v>Storage Cabinet</x:v>
      </x:c>
      <x:c r="H400" t="str">
        <x:v>Home Office</x:v>
      </x:c>
      <x:c r="I400" t="n">
        <x:v>86</x:v>
      </x:c>
      <x:c r="J400" s="10" t="n">
        <x:v>21375</x:v>
      </x:c>
      <x:c r="K400" s="10" t="n">
        <x:v>17476.3</x:v>
      </x:c>
      <x:c r="L400" s="10" t="n">
        <x:v>3898.7</x:v>
      </x:c>
      <x:c r="M400" s="12" t="n">
        <x:v>0.18239515128099487</x:v>
      </x:c>
    </x:row>
    <x:row r="401">
      <x:c r="A401" t="str">
        <x:v>ORD-10400</x:v>
      </x:c>
      <x:c r="B401" s="8" t="n">
        <x:v>45748</x:v>
      </x:c>
      <x:c r="C401" t="n">
        <x:v>2025</x:v>
      </x:c>
      <x:c r="D401" t="str">
        <x:v>Singapore</x:v>
      </x:c>
      <x:c r="E401" t="str">
        <x:v>Asia</x:v>
      </x:c>
      <x:c r="F401" t="str">
        <x:v>Furniture</x:v>
      </x:c>
      <x:c r="G401" t="str">
        <x:v>Office Chair</x:v>
      </x:c>
      <x:c r="H401" t="str">
        <x:v>Home Office</x:v>
      </x:c>
      <x:c r="I401" t="n">
        <x:v>91</x:v>
      </x:c>
      <x:c r="J401" s="10" t="n">
        <x:v>26108.33</x:v>
      </x:c>
      <x:c r="K401" s="10" t="n">
        <x:v>18963.88</x:v>
      </x:c>
      <x:c r="L401" s="10" t="n">
        <x:v>7144.44</x:v>
      </x:c>
      <x:c r="M401" s="12" t="n">
        <x:v>0.27364618127218293</x:v>
      </x:c>
    </x:row>
    <x:row r="402">
      <x:c r="A402" t="str">
        <x:v>ORD-10401</x:v>
      </x:c>
      <x:c r="B402" s="8" t="n">
        <x:v>45785</x:v>
      </x:c>
      <x:c r="C402" t="n">
        <x:v>2025</x:v>
      </x:c>
      <x:c r="D402" t="str">
        <x:v>Singapore</x:v>
      </x:c>
      <x:c r="E402" t="str">
        <x:v>Asia</x:v>
      </x:c>
      <x:c r="F402" t="str">
        <x:v>Furniture</x:v>
      </x:c>
      <x:c r="G402" t="str">
        <x:v>Storage Cabinet</x:v>
      </x:c>
      <x:c r="H402" t="str">
        <x:v>Corporate</x:v>
      </x:c>
      <x:c r="I402" t="n">
        <x:v>114</x:v>
      </x:c>
      <x:c r="J402" s="10" t="n">
        <x:v>21457.61</x:v>
      </x:c>
      <x:c r="K402" s="10" t="n">
        <x:v>15489.47</x:v>
      </x:c>
      <x:c r="L402" s="10" t="n">
        <x:v>5968.14</x:v>
      </x:c>
      <x:c r="M402" s="12" t="n">
        <x:v>0.278136325382772</x:v>
      </x:c>
    </x:row>
    <x:row r="403">
      <x:c r="A403" t="str">
        <x:v>ORD-10402</x:v>
      </x:c>
      <x:c r="B403" s="8" t="n">
        <x:v>45817</x:v>
      </x:c>
      <x:c r="C403" t="n">
        <x:v>2025</x:v>
      </x:c>
      <x:c r="D403" t="str">
        <x:v>Singapore</x:v>
      </x:c>
      <x:c r="E403" t="str">
        <x:v>Asia</x:v>
      </x:c>
      <x:c r="F403" t="str">
        <x:v>Office Supplies</x:v>
      </x:c>
      <x:c r="G403" t="str">
        <x:v>Pens</x:v>
      </x:c>
      <x:c r="H403" t="str">
        <x:v>Home Office</x:v>
      </x:c>
      <x:c r="I403" t="n">
        <x:v>63</x:v>
      </x:c>
      <x:c r="J403" s="10" t="n">
        <x:v>3637.96</x:v>
      </x:c>
      <x:c r="K403" s="10" t="n">
        <x:v>3047.62</x:v>
      </x:c>
      <x:c r="L403" s="10" t="n">
        <x:v>590.33</x:v>
      </x:c>
      <x:c r="M403" s="12" t="n">
        <x:v>0.1622702756236178</x:v>
      </x:c>
    </x:row>
    <x:row r="404">
      <x:c r="A404" t="str">
        <x:v>ORD-10403</x:v>
      </x:c>
      <x:c r="B404" s="8" t="n">
        <x:v>45854</x:v>
      </x:c>
      <x:c r="C404" t="n">
        <x:v>2025</x:v>
      </x:c>
      <x:c r="D404" t="str">
        <x:v>Singapore</x:v>
      </x:c>
      <x:c r="E404" t="str">
        <x:v>Asia</x:v>
      </x:c>
      <x:c r="F404" t="str">
        <x:v>Furniture</x:v>
      </x:c>
      <x:c r="G404" t="str">
        <x:v>Desk</x:v>
      </x:c>
      <x:c r="H404" t="str">
        <x:v>Consumer</x:v>
      </x:c>
      <x:c r="I404" t="n">
        <x:v>36</x:v>
      </x:c>
      <x:c r="J404" s="10" t="n">
        <x:v>8552.87</x:v>
      </x:c>
      <x:c r="K404" s="10" t="n">
        <x:v>6666.69</x:v>
      </x:c>
      <x:c r="L404" s="10" t="n">
        <x:v>1886.18</x:v>
      </x:c>
      <x:c r="M404" s="12" t="n">
        <x:v>0.2205322807727029</x:v>
      </x:c>
    </x:row>
    <x:row r="405">
      <x:c r="A405" t="str">
        <x:v>ORD-10404</x:v>
      </x:c>
      <x:c r="B405" s="8" t="n">
        <x:v>45889</x:v>
      </x:c>
      <x:c r="C405" t="n">
        <x:v>2025</x:v>
      </x:c>
      <x:c r="D405" t="str">
        <x:v>Singapore</x:v>
      </x:c>
      <x:c r="E405" t="str">
        <x:v>Asia</x:v>
      </x:c>
      <x:c r="F405" t="str">
        <x:v>Technology</x:v>
      </x:c>
      <x:c r="G405" t="str">
        <x:v>Monitor</x:v>
      </x:c>
      <x:c r="H405" t="str">
        <x:v>Corporate</x:v>
      </x:c>
      <x:c r="I405" t="n">
        <x:v>46</x:v>
      </x:c>
      <x:c r="J405" s="10" t="n">
        <x:v>20653.39</x:v>
      </x:c>
      <x:c r="K405" s="10" t="n">
        <x:v>14674.31</x:v>
      </x:c>
      <x:c r="L405" s="10" t="n">
        <x:v>5979.08</x:v>
      </x:c>
      <x:c r="M405" s="12" t="n">
        <x:v>0.28949629240674346</x:v>
      </x:c>
    </x:row>
    <x:row r="406">
      <x:c r="A406" t="str">
        <x:v>ORD-10405</x:v>
      </x:c>
      <x:c r="B406" s="8" t="n">
        <x:v>45911</x:v>
      </x:c>
      <x:c r="C406" t="n">
        <x:v>2025</x:v>
      </x:c>
      <x:c r="D406" t="str">
        <x:v>Singapore</x:v>
      </x:c>
      <x:c r="E406" t="str">
        <x:v>Asia</x:v>
      </x:c>
      <x:c r="F406" t="str">
        <x:v>Technology</x:v>
      </x:c>
      <x:c r="G406" t="str">
        <x:v>Headphones</x:v>
      </x:c>
      <x:c r="H406" t="str">
        <x:v>Consumer</x:v>
      </x:c>
      <x:c r="I406" t="n">
        <x:v>32</x:v>
      </x:c>
      <x:c r="J406" s="10" t="n">
        <x:v>11333.23</x:v>
      </x:c>
      <x:c r="K406" s="10" t="n">
        <x:v>7436.2</x:v>
      </x:c>
      <x:c r="L406" s="10" t="n">
        <x:v>3897.03</x:v>
      </x:c>
      <x:c r="M406" s="12" t="n">
        <x:v>0.3438588154873478</x:v>
      </x:c>
    </x:row>
    <x:row r="407">
      <x:c r="A407" t="str">
        <x:v>ORD-10406</x:v>
      </x:c>
      <x:c r="B407" s="8" t="n">
        <x:v>45958</x:v>
      </x:c>
      <x:c r="C407" t="n">
        <x:v>2025</x:v>
      </x:c>
      <x:c r="D407" t="str">
        <x:v>Singapore</x:v>
      </x:c>
      <x:c r="E407" t="str">
        <x:v>Asia</x:v>
      </x:c>
      <x:c r="F407" t="str">
        <x:v>Office Supplies</x:v>
      </x:c>
      <x:c r="G407" t="str">
        <x:v>Desk Organizer</x:v>
      </x:c>
      <x:c r="H407" t="str">
        <x:v>Corporate</x:v>
      </x:c>
      <x:c r="I407" t="n">
        <x:v>71</x:v>
      </x:c>
      <x:c r="J407" s="10" t="n">
        <x:v>4577.16</x:v>
      </x:c>
      <x:c r="K407" s="10" t="n">
        <x:v>3534.22</x:v>
      </x:c>
      <x:c r="L407" s="10" t="n">
        <x:v>1042.94</x:v>
      </x:c>
      <x:c r="M407" s="12" t="n">
        <x:v>0.22785705640036036</x:v>
      </x:c>
    </x:row>
    <x:row r="408">
      <x:c r="A408" t="str">
        <x:v>ORD-10407</x:v>
      </x:c>
      <x:c r="B408" s="8" t="n">
        <x:v>45977</x:v>
      </x:c>
      <x:c r="C408" t="n">
        <x:v>2025</x:v>
      </x:c>
      <x:c r="D408" t="str">
        <x:v>Singapore</x:v>
      </x:c>
      <x:c r="E408" t="str">
        <x:v>Asia</x:v>
      </x:c>
      <x:c r="F408" t="str">
        <x:v>Office Supplies</x:v>
      </x:c>
      <x:c r="G408" t="str">
        <x:v>Pens</x:v>
      </x:c>
      <x:c r="H408" t="str">
        <x:v>Corporate</x:v>
      </x:c>
      <x:c r="I408" t="n">
        <x:v>56</x:v>
      </x:c>
      <x:c r="J408" s="10" t="n">
        <x:v>4221.76</x:v>
      </x:c>
      <x:c r="K408" s="10" t="n">
        <x:v>3320.69</x:v>
      </x:c>
      <x:c r="L408" s="10" t="n">
        <x:v>901.07</x:v>
      </x:c>
      <x:c r="M408" s="12" t="n">
        <x:v>0.21343507546262572</x:v>
      </x:c>
    </x:row>
    <x:row r="409">
      <x:c r="A409" t="str">
        <x:v>ORD-10408</x:v>
      </x:c>
      <x:c r="B409" s="8" t="n">
        <x:v>46007</x:v>
      </x:c>
      <x:c r="C409" t="n">
        <x:v>2025</x:v>
      </x:c>
      <x:c r="D409" t="str">
        <x:v>Singapore</x:v>
      </x:c>
      <x:c r="E409" t="str">
        <x:v>Asia</x:v>
      </x:c>
      <x:c r="F409" t="str">
        <x:v>Furniture</x:v>
      </x:c>
      <x:c r="G409" t="str">
        <x:v>Desk</x:v>
      </x:c>
      <x:c r="H409" t="str">
        <x:v>Corporate</x:v>
      </x:c>
      <x:c r="I409" t="n">
        <x:v>55</x:v>
      </x:c>
      <x:c r="J409" s="10" t="n">
        <x:v>11955.97</x:v>
      </x:c>
      <x:c r="K409" s="10" t="n">
        <x:v>8926.38</x:v>
      </x:c>
      <x:c r="L409" s="10" t="n">
        <x:v>3029.58</x:v>
      </x:c>
      <x:c r="M409" s="12" t="n">
        <x:v>0.2533949321206533</x:v>
      </x:c>
    </x:row>
    <x:row r="410">
      <x:c r="A410" t="str">
        <x:v>ORD-10409</x:v>
      </x:c>
      <x:c r="B410" s="8" t="n">
        <x:v>45669</x:v>
      </x:c>
      <x:c r="C410" t="n">
        <x:v>2025</x:v>
      </x:c>
      <x:c r="D410" t="str">
        <x:v>Australia</x:v>
      </x:c>
      <x:c r="E410" t="str">
        <x:v>Oceania</x:v>
      </x:c>
      <x:c r="F410" t="str">
        <x:v>Office Supplies</x:v>
      </x:c>
      <x:c r="G410" t="str">
        <x:v>Pens</x:v>
      </x:c>
      <x:c r="H410" t="str">
        <x:v>Corporate</x:v>
      </x:c>
      <x:c r="I410" t="n">
        <x:v>63</x:v>
      </x:c>
      <x:c r="J410" s="10" t="n">
        <x:v>4555.32</x:v>
      </x:c>
      <x:c r="K410" s="10" t="n">
        <x:v>3533.54</x:v>
      </x:c>
      <x:c r="L410" s="10" t="n">
        <x:v>1021.78</x:v>
      </x:c>
      <x:c r="M410" s="12" t="n">
        <x:v>0.22430398380124728</x:v>
      </x:c>
    </x:row>
    <x:row r="411">
      <x:c r="A411" t="str">
        <x:v>ORD-10410</x:v>
      </x:c>
      <x:c r="B411" s="8" t="n">
        <x:v>45689</x:v>
      </x:c>
      <x:c r="C411" t="n">
        <x:v>2025</x:v>
      </x:c>
      <x:c r="D411" t="str">
        <x:v>Australia</x:v>
      </x:c>
      <x:c r="E411" t="str">
        <x:v>Oceania</x:v>
      </x:c>
      <x:c r="F411" t="str">
        <x:v>Technology</x:v>
      </x:c>
      <x:c r="G411" t="str">
        <x:v>Smartphone</x:v>
      </x:c>
      <x:c r="H411" t="str">
        <x:v>Home Office</x:v>
      </x:c>
      <x:c r="I411" t="n">
        <x:v>84</x:v>
      </x:c>
      <x:c r="J411" s="10" t="n">
        <x:v>31782.13</x:v>
      </x:c>
      <x:c r="K411" s="10" t="n">
        <x:v>21544.66</x:v>
      </x:c>
      <x:c r="L411" s="10" t="n">
        <x:v>10237.48</x:v>
      </x:c>
      <x:c r="M411" s="12" t="n">
        <x:v>0.3221141489298039</x:v>
      </x:c>
    </x:row>
    <x:row r="412">
      <x:c r="A412" t="str">
        <x:v>ORD-10411</x:v>
      </x:c>
      <x:c r="B412" s="8" t="n">
        <x:v>45739</x:v>
      </x:c>
      <x:c r="C412" t="n">
        <x:v>2025</x:v>
      </x:c>
      <x:c r="D412" t="str">
        <x:v>Australia</x:v>
      </x:c>
      <x:c r="E412" t="str">
        <x:v>Oceania</x:v>
      </x:c>
      <x:c r="F412" t="str">
        <x:v>Office Supplies</x:v>
      </x:c>
      <x:c r="G412" t="str">
        <x:v>Desk Organizer</x:v>
      </x:c>
      <x:c r="H412" t="str">
        <x:v>Home Office</x:v>
      </x:c>
      <x:c r="I412" t="n">
        <x:v>41</x:v>
      </x:c>
      <x:c r="J412" s="10" t="n">
        <x:v>3270.96</x:v>
      </x:c>
      <x:c r="K412" s="10" t="n">
        <x:v>2731.38</x:v>
      </x:c>
      <x:c r="L412" s="10" t="n">
        <x:v>539.58</x:v>
      </x:c>
      <x:c r="M412" s="12" t="n">
        <x:v>0.1649597449582354</x:v>
      </x:c>
    </x:row>
    <x:row r="413">
      <x:c r="A413" t="str">
        <x:v>ORD-10412</x:v>
      </x:c>
      <x:c r="B413" s="8" t="n">
        <x:v>45756</x:v>
      </x:c>
      <x:c r="C413" t="n">
        <x:v>2025</x:v>
      </x:c>
      <x:c r="D413" t="str">
        <x:v>Australia</x:v>
      </x:c>
      <x:c r="E413" t="str">
        <x:v>Oceania</x:v>
      </x:c>
      <x:c r="F413" t="str">
        <x:v>Technology</x:v>
      </x:c>
      <x:c r="G413" t="str">
        <x:v>Headphones</x:v>
      </x:c>
      <x:c r="H413" t="str">
        <x:v>Home Office</x:v>
      </x:c>
      <x:c r="I413" t="n">
        <x:v>78</x:v>
      </x:c>
      <x:c r="J413" s="10" t="n">
        <x:v>28670.99</x:v>
      </x:c>
      <x:c r="K413" s="10" t="n">
        <x:v>21034.76</x:v>
      </x:c>
      <x:c r="L413" s="10" t="n">
        <x:v>7636.23</x:v>
      </x:c>
      <x:c r="M413" s="12" t="n">
        <x:v>0.26633991710128296</x:v>
      </x:c>
    </x:row>
    <x:row r="414">
      <x:c r="A414" t="str">
        <x:v>ORD-10413</x:v>
      </x:c>
      <x:c r="B414" s="8" t="n">
        <x:v>45797</x:v>
      </x:c>
      <x:c r="C414" t="n">
        <x:v>2025</x:v>
      </x:c>
      <x:c r="D414" t="str">
        <x:v>Australia</x:v>
      </x:c>
      <x:c r="E414" t="str">
        <x:v>Oceania</x:v>
      </x:c>
      <x:c r="F414" t="str">
        <x:v>Office Supplies</x:v>
      </x:c>
      <x:c r="G414" t="str">
        <x:v>Pens</x:v>
      </x:c>
      <x:c r="H414" t="str">
        <x:v>Home Office</x:v>
      </x:c>
      <x:c r="I414" t="n">
        <x:v>69</x:v>
      </x:c>
      <x:c r="J414" s="10" t="n">
        <x:v>6647.9</x:v>
      </x:c>
      <x:c r="K414" s="10" t="n">
        <x:v>5724.67</x:v>
      </x:c>
      <x:c r="L414" s="10" t="n">
        <x:v>923.23</x:v>
      </x:c>
      <x:c r="M414" s="12" t="n">
        <x:v>0.13887581626987466</x:v>
      </x:c>
    </x:row>
    <x:row r="415">
      <x:c r="A415" t="str">
        <x:v>ORD-10414</x:v>
      </x:c>
      <x:c r="B415" s="8" t="n">
        <x:v>45822</x:v>
      </x:c>
      <x:c r="C415" t="n">
        <x:v>2025</x:v>
      </x:c>
      <x:c r="D415" t="str">
        <x:v>Australia</x:v>
      </x:c>
      <x:c r="E415" t="str">
        <x:v>Oceania</x:v>
      </x:c>
      <x:c r="F415" t="str">
        <x:v>Furniture</x:v>
      </x:c>
      <x:c r="G415" t="str">
        <x:v>Storage Cabinet</x:v>
      </x:c>
      <x:c r="H415" t="str">
        <x:v>Home Office</x:v>
      </x:c>
      <x:c r="I415" t="n">
        <x:v>79</x:v>
      </x:c>
      <x:c r="J415" s="10" t="n">
        <x:v>28125.47</x:v>
      </x:c>
      <x:c r="K415" s="10" t="n">
        <x:v>20409.08</x:v>
      </x:c>
      <x:c r="L415" s="10" t="n">
        <x:v>7716.39</x:v>
      </x:c>
      <x:c r="M415" s="12" t="n">
        <x:v>0.27435604693744375</x:v>
      </x:c>
    </x:row>
    <x:row r="416">
      <x:c r="A416" t="str">
        <x:v>ORD-10415</x:v>
      </x:c>
      <x:c r="B416" s="8" t="n">
        <x:v>45859</x:v>
      </x:c>
      <x:c r="C416" t="n">
        <x:v>2025</x:v>
      </x:c>
      <x:c r="D416" t="str">
        <x:v>Australia</x:v>
      </x:c>
      <x:c r="E416" t="str">
        <x:v>Oceania</x:v>
      </x:c>
      <x:c r="F416" t="str">
        <x:v>Office Supplies</x:v>
      </x:c>
      <x:c r="G416" t="str">
        <x:v>Printer Paper</x:v>
      </x:c>
      <x:c r="H416" t="str">
        <x:v>Corporate</x:v>
      </x:c>
      <x:c r="I416" t="n">
        <x:v>104</x:v>
      </x:c>
      <x:c r="J416" s="10" t="n">
        <x:v>10542.99</x:v>
      </x:c>
      <x:c r="K416" s="10" t="n">
        <x:v>8493.13</x:v>
      </x:c>
      <x:c r="L416" s="10" t="n">
        <x:v>2049.86</x:v>
      </x:c>
      <x:c r="M416" s="12" t="n">
        <x:v>0.19442871832295053</x:v>
      </x:c>
    </x:row>
    <x:row r="417">
      <x:c r="A417" t="str">
        <x:v>ORD-10416</x:v>
      </x:c>
      <x:c r="B417" s="8" t="n">
        <x:v>45889</x:v>
      </x:c>
      <x:c r="C417" t="n">
        <x:v>2025</x:v>
      </x:c>
      <x:c r="D417" t="str">
        <x:v>Australia</x:v>
      </x:c>
      <x:c r="E417" t="str">
        <x:v>Oceania</x:v>
      </x:c>
      <x:c r="F417" t="str">
        <x:v>Technology</x:v>
      </x:c>
      <x:c r="G417" t="str">
        <x:v>Laptop</x:v>
      </x:c>
      <x:c r="H417" t="str">
        <x:v>Consumer</x:v>
      </x:c>
      <x:c r="I417" t="n">
        <x:v>99</x:v>
      </x:c>
      <x:c r="J417" s="10" t="n">
        <x:v>50156.17</x:v>
      </x:c>
      <x:c r="K417" s="10" t="n">
        <x:v>37619.1</x:v>
      </x:c>
      <x:c r="L417" s="10" t="n">
        <x:v>12537.07</x:v>
      </x:c>
      <x:c r="M417" s="12" t="n">
        <x:v>0.2499606191936133</x:v>
      </x:c>
    </x:row>
    <x:row r="418">
      <x:c r="A418" t="str">
        <x:v>ORD-10417</x:v>
      </x:c>
      <x:c r="B418" s="8" t="n">
        <x:v>45909</x:v>
      </x:c>
      <x:c r="C418" t="n">
        <x:v>2025</x:v>
      </x:c>
      <x:c r="D418" t="str">
        <x:v>Australia</x:v>
      </x:c>
      <x:c r="E418" t="str">
        <x:v>Oceania</x:v>
      </x:c>
      <x:c r="F418" t="str">
        <x:v>Technology</x:v>
      </x:c>
      <x:c r="G418" t="str">
        <x:v>Headphones</x:v>
      </x:c>
      <x:c r="H418" t="str">
        <x:v>Corporate</x:v>
      </x:c>
      <x:c r="I418" t="n">
        <x:v>116</x:v>
      </x:c>
      <x:c r="J418" s="10" t="n">
        <x:v>51579.23</x:v>
      </x:c>
      <x:c r="K418" s="10" t="n">
        <x:v>39650.72</x:v>
      </x:c>
      <x:c r="L418" s="10" t="n">
        <x:v>11928.51</x:v>
      </x:c>
      <x:c r="M418" s="12" t="n">
        <x:v>0.2312657327341497</x:v>
      </x:c>
    </x:row>
    <x:row r="419">
      <x:c r="A419" t="str">
        <x:v>ORD-10418</x:v>
      </x:c>
      <x:c r="B419" s="8" t="n">
        <x:v>45949</x:v>
      </x:c>
      <x:c r="C419" t="n">
        <x:v>2025</x:v>
      </x:c>
      <x:c r="D419" t="str">
        <x:v>Australia</x:v>
      </x:c>
      <x:c r="E419" t="str">
        <x:v>Oceania</x:v>
      </x:c>
      <x:c r="F419" t="str">
        <x:v>Technology</x:v>
      </x:c>
      <x:c r="G419" t="str">
        <x:v>Smartphone</x:v>
      </x:c>
      <x:c r="H419" t="str">
        <x:v>Corporate</x:v>
      </x:c>
      <x:c r="I419" t="n">
        <x:v>62</x:v>
      </x:c>
      <x:c r="J419" s="10" t="n">
        <x:v>26923.13</x:v>
      </x:c>
      <x:c r="K419" s="10" t="n">
        <x:v>18235.55</x:v>
      </x:c>
      <x:c r="L419" s="10" t="n">
        <x:v>8687.59</x:v>
      </x:c>
      <x:c r="M419" s="12" t="n">
        <x:v>0.3226810678954919</x:v>
      </x:c>
    </x:row>
    <x:row r="420">
      <x:c r="A420" t="str">
        <x:v>ORD-10419</x:v>
      </x:c>
      <x:c r="B420" s="8" t="n">
        <x:v>45964</x:v>
      </x:c>
      <x:c r="C420" t="n">
        <x:v>2025</x:v>
      </x:c>
      <x:c r="D420" t="str">
        <x:v>Australia</x:v>
      </x:c>
      <x:c r="E420" t="str">
        <x:v>Oceania</x:v>
      </x:c>
      <x:c r="F420" t="str">
        <x:v>Office Supplies</x:v>
      </x:c>
      <x:c r="G420" t="str">
        <x:v>Pens</x:v>
      </x:c>
      <x:c r="H420" t="str">
        <x:v>Corporate</x:v>
      </x:c>
      <x:c r="I420" t="n">
        <x:v>18</x:v>
      </x:c>
      <x:c r="J420" s="10" t="n">
        <x:v>1473.72</x:v>
      </x:c>
      <x:c r="K420" s="10" t="n">
        <x:v>1229.89</x:v>
      </x:c>
      <x:c r="L420" s="10" t="n">
        <x:v>243.83</x:v>
      </x:c>
      <x:c r="M420" s="12" t="n">
        <x:v>0.16545186646220864</x:v>
      </x:c>
    </x:row>
    <x:row r="421">
      <x:c r="A421" t="str">
        <x:v>ORD-10420</x:v>
      </x:c>
      <x:c r="B421" s="8" t="n">
        <x:v>46008</x:v>
      </x:c>
      <x:c r="C421" t="n">
        <x:v>2025</x:v>
      </x:c>
      <x:c r="D421" t="str">
        <x:v>Australia</x:v>
      </x:c>
      <x:c r="E421" t="str">
        <x:v>Oceania</x:v>
      </x:c>
      <x:c r="F421" t="str">
        <x:v>Technology</x:v>
      </x:c>
      <x:c r="G421" t="str">
        <x:v>Smartphone</x:v>
      </x:c>
      <x:c r="H421" t="str">
        <x:v>Corporate</x:v>
      </x:c>
      <x:c r="I421" t="n">
        <x:v>54</x:v>
      </x:c>
      <x:c r="J421" s="10" t="n">
        <x:v>22762.37</x:v>
      </x:c>
      <x:c r="K421" s="10" t="n">
        <x:v>15384.81</x:v>
      </x:c>
      <x:c r="L421" s="10" t="n">
        <x:v>7377.57</x:v>
      </x:c>
      <x:c r="M421" s="12" t="n">
        <x:v>0.32411239970344363</x:v>
      </x:c>
    </x:row>
    <x:row r="422">
      <x:c r="A422" t="str">
        <x:v>ORD-10421</x:v>
      </x:c>
      <x:c r="B422" s="8" t="n">
        <x:v>45668</x:v>
      </x:c>
      <x:c r="C422" t="n">
        <x:v>2025</x:v>
      </x:c>
      <x:c r="D422" t="str">
        <x:v>UAE</x:v>
      </x:c>
      <x:c r="E422" t="str">
        <x:v>Middle East</x:v>
      </x:c>
      <x:c r="F422" t="str">
        <x:v>Furniture</x:v>
      </x:c>
      <x:c r="G422" t="str">
        <x:v>Bookshelf</x:v>
      </x:c>
      <x:c r="H422" t="str">
        <x:v>Corporate</x:v>
      </x:c>
      <x:c r="I422" t="n">
        <x:v>27</x:v>
      </x:c>
      <x:c r="J422" s="10" t="n">
        <x:v>7743.39</x:v>
      </x:c>
      <x:c r="K422" s="10" t="n">
        <x:v>5779.58</x:v>
      </x:c>
      <x:c r="L422" s="10" t="n">
        <x:v>1963.81</x:v>
      </x:c>
      <x:c r="M422" s="12" t="n">
        <x:v>0.2536115918628399</x:v>
      </x:c>
    </x:row>
    <x:row r="423">
      <x:c r="A423" t="str">
        <x:v>ORD-10422</x:v>
      </x:c>
      <x:c r="B423" s="8" t="n">
        <x:v>45699</x:v>
      </x:c>
      <x:c r="C423" t="n">
        <x:v>2025</x:v>
      </x:c>
      <x:c r="D423" t="str">
        <x:v>UAE</x:v>
      </x:c>
      <x:c r="E423" t="str">
        <x:v>Middle East</x:v>
      </x:c>
      <x:c r="F423" t="str">
        <x:v>Technology</x:v>
      </x:c>
      <x:c r="G423" t="str">
        <x:v>Monitor</x:v>
      </x:c>
      <x:c r="H423" t="str">
        <x:v>Consumer</x:v>
      </x:c>
      <x:c r="I423" t="n">
        <x:v>118</x:v>
      </x:c>
      <x:c r="J423" s="10" t="n">
        <x:v>63494.93</x:v>
      </x:c>
      <x:c r="K423" s="10" t="n">
        <x:v>48719.01</x:v>
      </x:c>
      <x:c r="L423" s="10" t="n">
        <x:v>14775.92</x:v>
      </x:c>
      <x:c r="M423" s="12" t="n">
        <x:v>0.23271021382437354</x:v>
      </x:c>
    </x:row>
    <x:row r="424">
      <x:c r="A424" t="str">
        <x:v>ORD-10423</x:v>
      </x:c>
      <x:c r="B424" s="8" t="n">
        <x:v>45724</x:v>
      </x:c>
      <x:c r="C424" t="n">
        <x:v>2025</x:v>
      </x:c>
      <x:c r="D424" t="str">
        <x:v>UAE</x:v>
      </x:c>
      <x:c r="E424" t="str">
        <x:v>Middle East</x:v>
      </x:c>
      <x:c r="F424" t="str">
        <x:v>Office Supplies</x:v>
      </x:c>
      <x:c r="G424" t="str">
        <x:v>Printer Paper</x:v>
      </x:c>
      <x:c r="H424" t="str">
        <x:v>Home Office</x:v>
      </x:c>
      <x:c r="I424" t="n">
        <x:v>117</x:v>
      </x:c>
      <x:c r="J424" s="10" t="n">
        <x:v>8109.32</x:v>
      </x:c>
      <x:c r="K424" s="10" t="n">
        <x:v>6097.66</x:v>
      </x:c>
      <x:c r="L424" s="10" t="n">
        <x:v>2011.66</x:v>
      </x:c>
      <x:c r="M424" s="12" t="n">
        <x:v>0.24806805647059332</x:v>
      </x:c>
    </x:row>
    <x:row r="425">
      <x:c r="A425" t="str">
        <x:v>ORD-10424</x:v>
      </x:c>
      <x:c r="B425" s="8" t="n">
        <x:v>45762</x:v>
      </x:c>
      <x:c r="C425" t="n">
        <x:v>2025</x:v>
      </x:c>
      <x:c r="D425" t="str">
        <x:v>UAE</x:v>
      </x:c>
      <x:c r="E425" t="str">
        <x:v>Middle East</x:v>
      </x:c>
      <x:c r="F425" t="str">
        <x:v>Office Supplies</x:v>
      </x:c>
      <x:c r="G425" t="str">
        <x:v>Pens</x:v>
      </x:c>
      <x:c r="H425" t="str">
        <x:v>Home Office</x:v>
      </x:c>
      <x:c r="I425" t="n">
        <x:v>35</x:v>
      </x:c>
      <x:c r="J425" s="10" t="n">
        <x:v>2711.67</x:v>
      </x:c>
      <x:c r="K425" s="10" t="n">
        <x:v>2220.42</x:v>
      </x:c>
      <x:c r="L425" s="10" t="n">
        <x:v>491.26</x:v>
      </x:c>
      <x:c r="M425" s="12" t="n">
        <x:v>0.18116432603460184</x:v>
      </x:c>
    </x:row>
    <x:row r="426">
      <x:c r="A426" t="str">
        <x:v>ORD-10425</x:v>
      </x:c>
      <x:c r="B426" s="8" t="n">
        <x:v>45790</x:v>
      </x:c>
      <x:c r="C426" t="n">
        <x:v>2025</x:v>
      </x:c>
      <x:c r="D426" t="str">
        <x:v>UAE</x:v>
      </x:c>
      <x:c r="E426" t="str">
        <x:v>Middle East</x:v>
      </x:c>
      <x:c r="F426" t="str">
        <x:v>Technology</x:v>
      </x:c>
      <x:c r="G426" t="str">
        <x:v>Headphones</x:v>
      </x:c>
      <x:c r="H426" t="str">
        <x:v>Home Office</x:v>
      </x:c>
      <x:c r="I426" t="n">
        <x:v>38</x:v>
      </x:c>
      <x:c r="J426" s="10" t="n">
        <x:v>14979.02</x:v>
      </x:c>
      <x:c r="K426" s="10" t="n">
        <x:v>10352.35</x:v>
      </x:c>
      <x:c r="L426" s="10" t="n">
        <x:v>4626.67</x:v>
      </x:c>
      <x:c r="M426" s="12" t="n">
        <x:v>0.30887694933903304</x:v>
      </x:c>
    </x:row>
    <x:row r="427">
      <x:c r="A427" t="str">
        <x:v>ORD-10426</x:v>
      </x:c>
      <x:c r="B427" s="8" t="n">
        <x:v>45815</x:v>
      </x:c>
      <x:c r="C427" t="n">
        <x:v>2025</x:v>
      </x:c>
      <x:c r="D427" t="str">
        <x:v>UAE</x:v>
      </x:c>
      <x:c r="E427" t="str">
        <x:v>Middle East</x:v>
      </x:c>
      <x:c r="F427" t="str">
        <x:v>Technology</x:v>
      </x:c>
      <x:c r="G427" t="str">
        <x:v>Smartphone</x:v>
      </x:c>
      <x:c r="H427" t="str">
        <x:v>Corporate</x:v>
      </x:c>
      <x:c r="I427" t="n">
        <x:v>90</x:v>
      </x:c>
      <x:c r="J427" s="10" t="n">
        <x:v>41482.47</x:v>
      </x:c>
      <x:c r="K427" s="10" t="n">
        <x:v>31919.35</x:v>
      </x:c>
      <x:c r="L427" s="10" t="n">
        <x:v>9563.12</x:v>
      </x:c>
      <x:c r="M427" s="12" t="n">
        <x:v>0.23053400519913636</x:v>
      </x:c>
    </x:row>
    <x:row r="428">
      <x:c r="A428" t="str">
        <x:v>ORD-10427</x:v>
      </x:c>
      <x:c r="B428" s="8" t="n">
        <x:v>45864</x:v>
      </x:c>
      <x:c r="C428" t="n">
        <x:v>2025</x:v>
      </x:c>
      <x:c r="D428" t="str">
        <x:v>UAE</x:v>
      </x:c>
      <x:c r="E428" t="str">
        <x:v>Middle East</x:v>
      </x:c>
      <x:c r="F428" t="str">
        <x:v>Technology</x:v>
      </x:c>
      <x:c r="G428" t="str">
        <x:v>Monitor</x:v>
      </x:c>
      <x:c r="H428" t="str">
        <x:v>Home Office</x:v>
      </x:c>
      <x:c r="I428" t="n">
        <x:v>118</x:v>
      </x:c>
      <x:c r="J428" s="10" t="n">
        <x:v>66254.86</x:v>
      </x:c>
      <x:c r="K428" s="10" t="n">
        <x:v>46425.99</x:v>
      </x:c>
      <x:c r="L428" s="10" t="n">
        <x:v>19828.87</x:v>
      </x:c>
      <x:c r="M428" s="12" t="n">
        <x:v>0.29928174862422235</x:v>
      </x:c>
    </x:row>
    <x:row r="429">
      <x:c r="A429" t="str">
        <x:v>ORD-10428</x:v>
      </x:c>
      <x:c r="B429" s="8" t="n">
        <x:v>45891</x:v>
      </x:c>
      <x:c r="C429" t="n">
        <x:v>2025</x:v>
      </x:c>
      <x:c r="D429" t="str">
        <x:v>UAE</x:v>
      </x:c>
      <x:c r="E429" t="str">
        <x:v>Middle East</x:v>
      </x:c>
      <x:c r="F429" t="str">
        <x:v>Office Supplies</x:v>
      </x:c>
      <x:c r="G429" t="str">
        <x:v>Pens</x:v>
      </x:c>
      <x:c r="H429" t="str">
        <x:v>Corporate</x:v>
      </x:c>
      <x:c r="I429" t="n">
        <x:v>56</x:v>
      </x:c>
      <x:c r="J429" s="10" t="n">
        <x:v>3971.18</x:v>
      </x:c>
      <x:c r="K429" s="10" t="n">
        <x:v>3400.62</x:v>
      </x:c>
      <x:c r="L429" s="10" t="n">
        <x:v>570.56</x:v>
      </x:c>
      <x:c r="M429" s="12" t="n">
        <x:v>0.14367459648461944</x:v>
      </x:c>
    </x:row>
    <x:row r="430">
      <x:c r="A430" t="str">
        <x:v>ORD-10429</x:v>
      </x:c>
      <x:c r="B430" s="8" t="n">
        <x:v>45912</x:v>
      </x:c>
      <x:c r="C430" t="n">
        <x:v>2025</x:v>
      </x:c>
      <x:c r="D430" t="str">
        <x:v>UAE</x:v>
      </x:c>
      <x:c r="E430" t="str">
        <x:v>Middle East</x:v>
      </x:c>
      <x:c r="F430" t="str">
        <x:v>Furniture</x:v>
      </x:c>
      <x:c r="G430" t="str">
        <x:v>Bookshelf</x:v>
      </x:c>
      <x:c r="H430" t="str">
        <x:v>Home Office</x:v>
      </x:c>
      <x:c r="I430" t="n">
        <x:v>64</x:v>
      </x:c>
      <x:c r="J430" s="10" t="n">
        <x:v>20237.22</x:v>
      </x:c>
      <x:c r="K430" s="10" t="n">
        <x:v>15371.37</x:v>
      </x:c>
      <x:c r="L430" s="10" t="n">
        <x:v>4865.85</x:v>
      </x:c>
      <x:c r="M430" s="12" t="n">
        <x:v>0.2404405657478261</x:v>
      </x:c>
    </x:row>
    <x:row r="431">
      <x:c r="A431" t="str">
        <x:v>ORD-10430</x:v>
      </x:c>
      <x:c r="B431" s="8" t="n">
        <x:v>45940</x:v>
      </x:c>
      <x:c r="C431" t="n">
        <x:v>2025</x:v>
      </x:c>
      <x:c r="D431" t="str">
        <x:v>UAE</x:v>
      </x:c>
      <x:c r="E431" t="str">
        <x:v>Middle East</x:v>
      </x:c>
      <x:c r="F431" t="str">
        <x:v>Furniture</x:v>
      </x:c>
      <x:c r="G431" t="str">
        <x:v>Storage Cabinet</x:v>
      </x:c>
      <x:c r="H431" t="str">
        <x:v>Home Office</x:v>
      </x:c>
      <x:c r="I431" t="n">
        <x:v>37</x:v>
      </x:c>
      <x:c r="J431" s="10" t="n">
        <x:v>12972.06</x:v>
      </x:c>
      <x:c r="K431" s="10" t="n">
        <x:v>9667.83</x:v>
      </x:c>
      <x:c r="L431" s="10" t="n">
        <x:v>3304.22</x:v>
      </x:c>
      <x:c r="M431" s="12" t="n">
        <x:v>0.2547186033135176</x:v>
      </x:c>
    </x:row>
    <x:row r="432">
      <x:c r="A432" t="str">
        <x:v>ORD-10431</x:v>
      </x:c>
      <x:c r="B432" s="8" t="n">
        <x:v>45965</x:v>
      </x:c>
      <x:c r="C432" t="n">
        <x:v>2025</x:v>
      </x:c>
      <x:c r="D432" t="str">
        <x:v>UAE</x:v>
      </x:c>
      <x:c r="E432" t="str">
        <x:v>Middle East</x:v>
      </x:c>
      <x:c r="F432" t="str">
        <x:v>Office Supplies</x:v>
      </x:c>
      <x:c r="G432" t="str">
        <x:v>Printer Paper</x:v>
      </x:c>
      <x:c r="H432" t="str">
        <x:v>Home Office</x:v>
      </x:c>
      <x:c r="I432" t="n">
        <x:v>32</x:v>
      </x:c>
      <x:c r="J432" s="10" t="n">
        <x:v>2451.33</x:v>
      </x:c>
      <x:c r="K432" s="10" t="n">
        <x:v>2062.47</x:v>
      </x:c>
      <x:c r="L432" s="10" t="n">
        <x:v>388.85</x:v>
      </x:c>
      <x:c r="M432" s="12" t="n">
        <x:v>0.15862872717265494</x:v>
      </x:c>
    </x:row>
    <x:row r="433">
      <x:c r="A433" t="str">
        <x:v>ORD-10432</x:v>
      </x:c>
      <x:c r="B433" s="8" t="n">
        <x:v>45996</x:v>
      </x:c>
      <x:c r="C433" t="n">
        <x:v>2025</x:v>
      </x:c>
      <x:c r="D433" t="str">
        <x:v>UAE</x:v>
      </x:c>
      <x:c r="E433" t="str">
        <x:v>Middle East</x:v>
      </x:c>
      <x:c r="F433" t="str">
        <x:v>Technology</x:v>
      </x:c>
      <x:c r="G433" t="str">
        <x:v>Monitor</x:v>
      </x:c>
      <x:c r="H433" t="str">
        <x:v>Home Office</x:v>
      </x:c>
      <x:c r="I433" t="n">
        <x:v>33</x:v>
      </x:c>
      <x:c r="J433" s="10" t="n">
        <x:v>15946.25</x:v>
      </x:c>
      <x:c r="K433" s="10" t="n">
        <x:v>11478.29</x:v>
      </x:c>
      <x:c r="L433" s="10" t="n">
        <x:v>4467.96</x:v>
      </x:c>
      <x:c r="M433" s="12" t="n">
        <x:v>0.28018869274535096</x:v>
      </x:c>
    </x:row>
    <x:row r="434">
      <x:c r="A434" t="str">
        <x:v>ORD-10433</x:v>
      </x:c>
      <x:c r="B434" s="8" t="n">
        <x:v>45678</x:v>
      </x:c>
      <x:c r="C434" t="n">
        <x:v>2025</x:v>
      </x:c>
      <x:c r="D434" t="str">
        <x:v>Saudi Arabia</x:v>
      </x:c>
      <x:c r="E434" t="str">
        <x:v>Middle East</x:v>
      </x:c>
      <x:c r="F434" t="str">
        <x:v>Office Supplies</x:v>
      </x:c>
      <x:c r="G434" t="str">
        <x:v>Desk Organizer</x:v>
      </x:c>
      <x:c r="H434" t="str">
        <x:v>Corporate</x:v>
      </x:c>
      <x:c r="I434" t="n">
        <x:v>38</x:v>
      </x:c>
      <x:c r="J434" s="10" t="n">
        <x:v>2523.06</x:v>
      </x:c>
      <x:c r="K434" s="10" t="n">
        <x:v>2032.36</x:v>
      </x:c>
      <x:c r="L434" s="10" t="n">
        <x:v>490.7</x:v>
      </x:c>
      <x:c r="M434" s="12" t="n">
        <x:v>0.1944855123997625</x:v>
      </x:c>
    </x:row>
    <x:row r="435">
      <x:c r="A435" t="str">
        <x:v>ORD-10434</x:v>
      </x:c>
      <x:c r="B435" s="8" t="n">
        <x:v>45703</x:v>
      </x:c>
      <x:c r="C435" t="n">
        <x:v>2025</x:v>
      </x:c>
      <x:c r="D435" t="str">
        <x:v>Saudi Arabia</x:v>
      </x:c>
      <x:c r="E435" t="str">
        <x:v>Middle East</x:v>
      </x:c>
      <x:c r="F435" t="str">
        <x:v>Technology</x:v>
      </x:c>
      <x:c r="G435" t="str">
        <x:v>Smartphone</x:v>
      </x:c>
      <x:c r="H435" t="str">
        <x:v>Corporate</x:v>
      </x:c>
      <x:c r="I435" t="n">
        <x:v>51</x:v>
      </x:c>
      <x:c r="J435" s="10" t="n">
        <x:v>15180.73</x:v>
      </x:c>
      <x:c r="K435" s="10" t="n">
        <x:v>11116.1</x:v>
      </x:c>
      <x:c r="L435" s="10" t="n">
        <x:v>4064.63</x:v>
      </x:c>
      <x:c r="M435" s="12" t="n">
        <x:v>0.26774960175930124</x:v>
      </x:c>
    </x:row>
    <x:row r="436">
      <x:c r="A436" t="str">
        <x:v>ORD-10435</x:v>
      </x:c>
      <x:c r="B436" s="8" t="n">
        <x:v>45729</x:v>
      </x:c>
      <x:c r="C436" t="n">
        <x:v>2025</x:v>
      </x:c>
      <x:c r="D436" t="str">
        <x:v>Saudi Arabia</x:v>
      </x:c>
      <x:c r="E436" t="str">
        <x:v>Middle East</x:v>
      </x:c>
      <x:c r="F436" t="str">
        <x:v>Office Supplies</x:v>
      </x:c>
      <x:c r="G436" t="str">
        <x:v>Printer Paper</x:v>
      </x:c>
      <x:c r="H436" t="str">
        <x:v>Corporate</x:v>
      </x:c>
      <x:c r="I436" t="n">
        <x:v>16</x:v>
      </x:c>
      <x:c r="J436" s="10" t="n">
        <x:v>1061.08</x:v>
      </x:c>
      <x:c r="K436" s="10" t="n">
        <x:v>898.29</x:v>
      </x:c>
      <x:c r="L436" s="10" t="n">
        <x:v>162.79</x:v>
      </x:c>
      <x:c r="M436" s="12" t="n">
        <x:v>0.15341541899610983</x:v>
      </x:c>
    </x:row>
    <x:row r="437">
      <x:c r="A437" t="str">
        <x:v>ORD-10436</x:v>
      </x:c>
      <x:c r="B437" s="8" t="n">
        <x:v>45762</x:v>
      </x:c>
      <x:c r="C437" t="n">
        <x:v>2025</x:v>
      </x:c>
      <x:c r="D437" t="str">
        <x:v>Saudi Arabia</x:v>
      </x:c>
      <x:c r="E437" t="str">
        <x:v>Middle East</x:v>
      </x:c>
      <x:c r="F437" t="str">
        <x:v>Office Supplies</x:v>
      </x:c>
      <x:c r="G437" t="str">
        <x:v>Desk Organizer</x:v>
      </x:c>
      <x:c r="H437" t="str">
        <x:v>Corporate</x:v>
      </x:c>
      <x:c r="I437" t="n">
        <x:v>102</x:v>
      </x:c>
      <x:c r="J437" s="10" t="n">
        <x:v>6792.15</x:v>
      </x:c>
      <x:c r="K437" s="10" t="n">
        <x:v>5330.36</x:v>
      </x:c>
      <x:c r="L437" s="10" t="n">
        <x:v>1461.79</x:v>
      </x:c>
      <x:c r="M437" s="12" t="n">
        <x:v>0.21521708474149556</x:v>
      </x:c>
    </x:row>
    <x:row r="438">
      <x:c r="A438" t="str">
        <x:v>ORD-10437</x:v>
      </x:c>
      <x:c r="B438" s="8" t="n">
        <x:v>45787</x:v>
      </x:c>
      <x:c r="C438" t="n">
        <x:v>2025</x:v>
      </x:c>
      <x:c r="D438" t="str">
        <x:v>Saudi Arabia</x:v>
      </x:c>
      <x:c r="E438" t="str">
        <x:v>Middle East</x:v>
      </x:c>
      <x:c r="F438" t="str">
        <x:v>Furniture</x:v>
      </x:c>
      <x:c r="G438" t="str">
        <x:v>Desk</x:v>
      </x:c>
      <x:c r="H438" t="str">
        <x:v>Consumer</x:v>
      </x:c>
      <x:c r="I438" t="n">
        <x:v>87</x:v>
      </x:c>
      <x:c r="J438" s="10" t="n">
        <x:v>14769.31</x:v>
      </x:c>
      <x:c r="K438" s="10" t="n">
        <x:v>10909.69</x:v>
      </x:c>
      <x:c r="L438" s="10" t="n">
        <x:v>3859.62</x:v>
      </x:c>
      <x:c r="M438" s="12" t="n">
        <x:v>0.2613267942254509</x:v>
      </x:c>
    </x:row>
    <x:row r="439">
      <x:c r="A439" t="str">
        <x:v>ORD-10438</x:v>
      </x:c>
      <x:c r="B439" s="8" t="n">
        <x:v>45827</x:v>
      </x:c>
      <x:c r="C439" t="n">
        <x:v>2025</x:v>
      </x:c>
      <x:c r="D439" t="str">
        <x:v>Saudi Arabia</x:v>
      </x:c>
      <x:c r="E439" t="str">
        <x:v>Middle East</x:v>
      </x:c>
      <x:c r="F439" t="str">
        <x:v>Technology</x:v>
      </x:c>
      <x:c r="G439" t="str">
        <x:v>Monitor</x:v>
      </x:c>
      <x:c r="H439" t="str">
        <x:v>Consumer</x:v>
      </x:c>
      <x:c r="I439" t="n">
        <x:v>83</x:v>
      </x:c>
      <x:c r="J439" s="10" t="n">
        <x:v>27342.53</x:v>
      </x:c>
      <x:c r="K439" s="10" t="n">
        <x:v>18492.06</x:v>
      </x:c>
      <x:c r="L439" s="10" t="n">
        <x:v>8850.47</x:v>
      </x:c>
      <x:c r="M439" s="12" t="n">
        <x:v>0.3236888236915958</x:v>
      </x:c>
    </x:row>
    <x:row r="440">
      <x:c r="A440" t="str">
        <x:v>ORD-10439</x:v>
      </x:c>
      <x:c r="B440" s="8" t="n">
        <x:v>45863</x:v>
      </x:c>
      <x:c r="C440" t="n">
        <x:v>2025</x:v>
      </x:c>
      <x:c r="D440" t="str">
        <x:v>Saudi Arabia</x:v>
      </x:c>
      <x:c r="E440" t="str">
        <x:v>Middle East</x:v>
      </x:c>
      <x:c r="F440" t="str">
        <x:v>Office Supplies</x:v>
      </x:c>
      <x:c r="G440" t="str">
        <x:v>Desk Organizer</x:v>
      </x:c>
      <x:c r="H440" t="str">
        <x:v>Home Office</x:v>
      </x:c>
      <x:c r="I440" t="n">
        <x:v>80</x:v>
      </x:c>
      <x:c r="J440" s="10" t="n">
        <x:v>4169.46</x:v>
      </x:c>
      <x:c r="K440" s="10" t="n">
        <x:v>3570.29</x:v>
      </x:c>
      <x:c r="L440" s="10" t="n">
        <x:v>599.17</x:v>
      </x:c>
      <x:c r="M440" s="12" t="n">
        <x:v>0.14370479816307624</x:v>
      </x:c>
    </x:row>
    <x:row r="441">
      <x:c r="A441" t="str">
        <x:v>ORD-10440</x:v>
      </x:c>
      <x:c r="B441" s="8" t="n">
        <x:v>45884</x:v>
      </x:c>
      <x:c r="C441" t="n">
        <x:v>2025</x:v>
      </x:c>
      <x:c r="D441" t="str">
        <x:v>Saudi Arabia</x:v>
      </x:c>
      <x:c r="E441" t="str">
        <x:v>Middle East</x:v>
      </x:c>
      <x:c r="F441" t="str">
        <x:v>Office Supplies</x:v>
      </x:c>
      <x:c r="G441" t="str">
        <x:v>Binders</x:v>
      </x:c>
      <x:c r="H441" t="str">
        <x:v>Home Office</x:v>
      </x:c>
      <x:c r="I441" t="n">
        <x:v>120</x:v>
      </x:c>
      <x:c r="J441" s="10" t="n">
        <x:v>9206.81</x:v>
      </x:c>
      <x:c r="K441" s="10" t="n">
        <x:v>7170.26</x:v>
      </x:c>
      <x:c r="L441" s="10" t="n">
        <x:v>2036.55</x:v>
      </x:c>
      <x:c r="M441" s="12" t="n">
        <x:v>0.221200495707077</x:v>
      </x:c>
    </x:row>
    <x:row r="442">
      <x:c r="A442" t="str">
        <x:v>ORD-10441</x:v>
      </x:c>
      <x:c r="B442" s="8" t="n">
        <x:v>45908</x:v>
      </x:c>
      <x:c r="C442" t="n">
        <x:v>2025</x:v>
      </x:c>
      <x:c r="D442" t="str">
        <x:v>Saudi Arabia</x:v>
      </x:c>
      <x:c r="E442" t="str">
        <x:v>Middle East</x:v>
      </x:c>
      <x:c r="F442" t="str">
        <x:v>Office Supplies</x:v>
      </x:c>
      <x:c r="G442" t="str">
        <x:v>Pens</x:v>
      </x:c>
      <x:c r="H442" t="str">
        <x:v>Corporate</x:v>
      </x:c>
      <x:c r="I442" t="n">
        <x:v>28</x:v>
      </x:c>
      <x:c r="J442" s="10" t="n">
        <x:v>2125.99</x:v>
      </x:c>
      <x:c r="K442" s="10" t="n">
        <x:v>1682.85</x:v>
      </x:c>
      <x:c r="L442" s="10" t="n">
        <x:v>443.14</x:v>
      </x:c>
      <x:c r="M442" s="12" t="n">
        <x:v>0.20844060428560862</x:v>
      </x:c>
    </x:row>
    <x:row r="443">
      <x:c r="A443" t="str">
        <x:v>ORD-10442</x:v>
      </x:c>
      <x:c r="B443" s="8" t="n">
        <x:v>45945</x:v>
      </x:c>
      <x:c r="C443" t="n">
        <x:v>2025</x:v>
      </x:c>
      <x:c r="D443" t="str">
        <x:v>Saudi Arabia</x:v>
      </x:c>
      <x:c r="E443" t="str">
        <x:v>Middle East</x:v>
      </x:c>
      <x:c r="F443" t="str">
        <x:v>Furniture</x:v>
      </x:c>
      <x:c r="G443" t="str">
        <x:v>Office Chair</x:v>
      </x:c>
      <x:c r="H443" t="str">
        <x:v>Corporate</x:v>
      </x:c>
      <x:c r="I443" t="n">
        <x:v>48</x:v>
      </x:c>
      <x:c r="J443" s="10" t="n">
        <x:v>10169.83</x:v>
      </x:c>
      <x:c r="K443" s="10" t="n">
        <x:v>7444.24</x:v>
      </x:c>
      <x:c r="L443" s="10" t="n">
        <x:v>2725.59</x:v>
      </x:c>
      <x:c r="M443" s="12" t="n">
        <x:v>0.2680074302139726</x:v>
      </x:c>
    </x:row>
    <x:row r="444">
      <x:c r="A444" t="str">
        <x:v>ORD-10443</x:v>
      </x:c>
      <x:c r="B444" s="8" t="n">
        <x:v>45989</x:v>
      </x:c>
      <x:c r="C444" t="n">
        <x:v>2025</x:v>
      </x:c>
      <x:c r="D444" t="str">
        <x:v>Saudi Arabia</x:v>
      </x:c>
      <x:c r="E444" t="str">
        <x:v>Middle East</x:v>
      </x:c>
      <x:c r="F444" t="str">
        <x:v>Technology</x:v>
      </x:c>
      <x:c r="G444" t="str">
        <x:v>Smartphone</x:v>
      </x:c>
      <x:c r="H444" t="str">
        <x:v>Consumer</x:v>
      </x:c>
      <x:c r="I444" t="n">
        <x:v>118</x:v>
      </x:c>
      <x:c r="J444" s="10" t="n">
        <x:v>50214.47</x:v>
      </x:c>
      <x:c r="K444" s="10" t="n">
        <x:v>34512.6</x:v>
      </x:c>
      <x:c r="L444" s="10" t="n">
        <x:v>15701.87</x:v>
      </x:c>
      <x:c r="M444" s="12" t="n">
        <x:v>0.3126960304534114</x:v>
      </x:c>
    </x:row>
    <x:row r="445">
      <x:c r="A445" t="str">
        <x:v>ORD-10444</x:v>
      </x:c>
      <x:c r="B445" s="8" t="n">
        <x:v>45998</x:v>
      </x:c>
      <x:c r="C445" t="n">
        <x:v>2025</x:v>
      </x:c>
      <x:c r="D445" t="str">
        <x:v>Saudi Arabia</x:v>
      </x:c>
      <x:c r="E445" t="str">
        <x:v>Middle East</x:v>
      </x:c>
      <x:c r="F445" t="str">
        <x:v>Office Supplies</x:v>
      </x:c>
      <x:c r="G445" t="str">
        <x:v>Desk Organizer</x:v>
      </x:c>
      <x:c r="H445" t="str">
        <x:v>Consumer</x:v>
      </x:c>
      <x:c r="I445" t="n">
        <x:v>93</x:v>
      </x:c>
      <x:c r="J445" s="10" t="n">
        <x:v>4939.53</x:v>
      </x:c>
      <x:c r="K445" s="10" t="n">
        <x:v>4174.92</x:v>
      </x:c>
      <x:c r="L445" s="10" t="n">
        <x:v>764.61</x:v>
      </x:c>
      <x:c r="M445" s="12" t="n">
        <x:v>0.1547943587424127</x:v>
      </x:c>
    </x:row>
    <x:row r="446">
      <x:c r="A446" t="str">
        <x:v>ORD-10445</x:v>
      </x:c>
      <x:c r="B446" s="8" t="n">
        <x:v>45680</x:v>
      </x:c>
      <x:c r="C446" t="n">
        <x:v>2025</x:v>
      </x:c>
      <x:c r="D446" t="str">
        <x:v>South Africa</x:v>
      </x:c>
      <x:c r="E446" t="str">
        <x:v>Africa</x:v>
      </x:c>
      <x:c r="F446" t="str">
        <x:v>Technology</x:v>
      </x:c>
      <x:c r="G446" t="str">
        <x:v>Monitor</x:v>
      </x:c>
      <x:c r="H446" t="str">
        <x:v>Home Office</x:v>
      </x:c>
      <x:c r="I446" t="n">
        <x:v>50</x:v>
      </x:c>
      <x:c r="J446" s="10" t="n">
        <x:v>14520.73</x:v>
      </x:c>
      <x:c r="K446" s="10" t="n">
        <x:v>11468.4</x:v>
      </x:c>
      <x:c r="L446" s="10" t="n">
        <x:v>3052.33</x:v>
      </x:c>
      <x:c r="M446" s="12" t="n">
        <x:v>0.21020528375237013</x:v>
      </x:c>
    </x:row>
    <x:row r="447">
      <x:c r="A447" t="str">
        <x:v>ORD-10446</x:v>
      </x:c>
      <x:c r="B447" s="8" t="n">
        <x:v>45710</x:v>
      </x:c>
      <x:c r="C447" t="n">
        <x:v>2025</x:v>
      </x:c>
      <x:c r="D447" t="str">
        <x:v>South Africa</x:v>
      </x:c>
      <x:c r="E447" t="str">
        <x:v>Africa</x:v>
      </x:c>
      <x:c r="F447" t="str">
        <x:v>Furniture</x:v>
      </x:c>
      <x:c r="G447" t="str">
        <x:v>Bookshelf</x:v>
      </x:c>
      <x:c r="H447" t="str">
        <x:v>Home Office</x:v>
      </x:c>
      <x:c r="I447" t="n">
        <x:v>49</x:v>
      </x:c>
      <x:c r="J447" s="10" t="n">
        <x:v>10505.12</x:v>
      </x:c>
      <x:c r="K447" s="10" t="n">
        <x:v>8490.97</x:v>
      </x:c>
      <x:c r="L447" s="10" t="n">
        <x:v>2014.14</x:v>
      </x:c>
      <x:c r="M447" s="12" t="n">
        <x:v>0.19172979860200437</x:v>
      </x:c>
    </x:row>
    <x:row r="448">
      <x:c r="A448" t="str">
        <x:v>ORD-10447</x:v>
      </x:c>
      <x:c r="B448" s="8" t="n">
        <x:v>45721</x:v>
      </x:c>
      <x:c r="C448" t="n">
        <x:v>2025</x:v>
      </x:c>
      <x:c r="D448" t="str">
        <x:v>South Africa</x:v>
      </x:c>
      <x:c r="E448" t="str">
        <x:v>Africa</x:v>
      </x:c>
      <x:c r="F448" t="str">
        <x:v>Technology</x:v>
      </x:c>
      <x:c r="G448" t="str">
        <x:v>Smartphone</x:v>
      </x:c>
      <x:c r="H448" t="str">
        <x:v>Corporate</x:v>
      </x:c>
      <x:c r="I448" t="n">
        <x:v>22</x:v>
      </x:c>
      <x:c r="J448" s="10" t="n">
        <x:v>7757.78</x:v>
      </x:c>
      <x:c r="K448" s="10" t="n">
        <x:v>5476.64</x:v>
      </x:c>
      <x:c r="L448" s="10" t="n">
        <x:v>2281.14</x:v>
      </x:c>
      <x:c r="M448" s="12" t="n">
        <x:v>0.29404571085205333</x:v>
      </x:c>
    </x:row>
    <x:row r="449">
      <x:c r="A449" t="str">
        <x:v>ORD-10448</x:v>
      </x:c>
      <x:c r="B449" s="8" t="n">
        <x:v>45772</x:v>
      </x:c>
      <x:c r="C449" t="n">
        <x:v>2025</x:v>
      </x:c>
      <x:c r="D449" t="str">
        <x:v>South Africa</x:v>
      </x:c>
      <x:c r="E449" t="str">
        <x:v>Africa</x:v>
      </x:c>
      <x:c r="F449" t="str">
        <x:v>Office Supplies</x:v>
      </x:c>
      <x:c r="G449" t="str">
        <x:v>Pens</x:v>
      </x:c>
      <x:c r="H449" t="str">
        <x:v>Consumer</x:v>
      </x:c>
      <x:c r="I449" t="n">
        <x:v>33</x:v>
      </x:c>
      <x:c r="J449" s="10" t="n">
        <x:v>1817.51</x:v>
      </x:c>
      <x:c r="K449" s="10" t="n">
        <x:v>1473.24</x:v>
      </x:c>
      <x:c r="L449" s="10" t="n">
        <x:v>344.27</x:v>
      </x:c>
      <x:c r="M449" s="12" t="n">
        <x:v>0.18941781632383597</x:v>
      </x:c>
    </x:row>
    <x:row r="450">
      <x:c r="A450" t="str">
        <x:v>ORD-10449</x:v>
      </x:c>
      <x:c r="B450" s="8" t="n">
        <x:v>45791</x:v>
      </x:c>
      <x:c r="C450" t="n">
        <x:v>2025</x:v>
      </x:c>
      <x:c r="D450" t="str">
        <x:v>South Africa</x:v>
      </x:c>
      <x:c r="E450" t="str">
        <x:v>Africa</x:v>
      </x:c>
      <x:c r="F450" t="str">
        <x:v>Office Supplies</x:v>
      </x:c>
      <x:c r="G450" t="str">
        <x:v>Desk Organizer</x:v>
      </x:c>
      <x:c r="H450" t="str">
        <x:v>Corporate</x:v>
      </x:c>
      <x:c r="I450" t="n">
        <x:v>33</x:v>
      </x:c>
      <x:c r="J450" s="10" t="n">
        <x:v>1693.37</x:v>
      </x:c>
      <x:c r="K450" s="10" t="n">
        <x:v>1486.36</x:v>
      </x:c>
      <x:c r="L450" s="10" t="n">
        <x:v>207.01</x:v>
      </x:c>
      <x:c r="M450" s="12" t="n">
        <x:v>0.12224605825049827</x:v>
      </x:c>
    </x:row>
    <x:row r="451">
      <x:c r="A451" t="str">
        <x:v>ORD-10450</x:v>
      </x:c>
      <x:c r="B451" s="8" t="n">
        <x:v>45821</x:v>
      </x:c>
      <x:c r="C451" t="n">
        <x:v>2025</x:v>
      </x:c>
      <x:c r="D451" t="str">
        <x:v>South Africa</x:v>
      </x:c>
      <x:c r="E451" t="str">
        <x:v>Africa</x:v>
      </x:c>
      <x:c r="F451" t="str">
        <x:v>Furniture</x:v>
      </x:c>
      <x:c r="G451" t="str">
        <x:v>Storage Cabinet</x:v>
      </x:c>
      <x:c r="H451" t="str">
        <x:v>Consumer</x:v>
      </x:c>
      <x:c r="I451" t="n">
        <x:v>96</x:v>
      </x:c>
      <x:c r="J451" s="10" t="n">
        <x:v>19106.82</x:v>
      </x:c>
      <x:c r="K451" s="10" t="n">
        <x:v>14860.02</x:v>
      </x:c>
      <x:c r="L451" s="10" t="n">
        <x:v>4246.8</x:v>
      </x:c>
      <x:c r="M451" s="12" t="n">
        <x:v>0.2222661081788791</x:v>
      </x:c>
    </x:row>
    <x:row r="452">
      <x:c r="A452" t="str">
        <x:v>ORD-10451</x:v>
      </x:c>
      <x:c r="B452" s="8" t="n">
        <x:v>45857</x:v>
      </x:c>
      <x:c r="C452" t="n">
        <x:v>2025</x:v>
      </x:c>
      <x:c r="D452" t="str">
        <x:v>South Africa</x:v>
      </x:c>
      <x:c r="E452" t="str">
        <x:v>Africa</x:v>
      </x:c>
      <x:c r="F452" t="str">
        <x:v>Office Supplies</x:v>
      </x:c>
      <x:c r="G452" t="str">
        <x:v>Binders</x:v>
      </x:c>
      <x:c r="H452" t="str">
        <x:v>Home Office</x:v>
      </x:c>
      <x:c r="I452" t="n">
        <x:v>62</x:v>
      </x:c>
      <x:c r="J452" s="10" t="n">
        <x:v>2967.81</x:v>
      </x:c>
      <x:c r="K452" s="10" t="n">
        <x:v>2526.89</x:v>
      </x:c>
      <x:c r="L452" s="10" t="n">
        <x:v>440.91</x:v>
      </x:c>
      <x:c r="M452" s="12" t="n">
        <x:v>0.14856533765252475</x:v>
      </x:c>
    </x:row>
    <x:row r="453">
      <x:c r="A453" t="str">
        <x:v>ORD-10452</x:v>
      </x:c>
      <x:c r="B453" s="8" t="n">
        <x:v>45897</x:v>
      </x:c>
      <x:c r="C453" t="n">
        <x:v>2025</x:v>
      </x:c>
      <x:c r="D453" t="str">
        <x:v>South Africa</x:v>
      </x:c>
      <x:c r="E453" t="str">
        <x:v>Africa</x:v>
      </x:c>
      <x:c r="F453" t="str">
        <x:v>Technology</x:v>
      </x:c>
      <x:c r="G453" t="str">
        <x:v>Laptop</x:v>
      </x:c>
      <x:c r="H453" t="str">
        <x:v>Home Office</x:v>
      </x:c>
      <x:c r="I453" t="n">
        <x:v>73</x:v>
      </x:c>
      <x:c r="J453" s="10" t="n">
        <x:v>21636.28</x:v>
      </x:c>
      <x:c r="K453" s="10" t="n">
        <x:v>15714.98</x:v>
      </x:c>
      <x:c r="L453" s="10" t="n">
        <x:v>5921.3</x:v>
      </x:c>
      <x:c r="M453" s="12" t="n">
        <x:v>0.27367467733462697</x:v>
      </x:c>
    </x:row>
    <x:row r="454">
      <x:c r="A454" t="str">
        <x:v>ORD-10453</x:v>
      </x:c>
      <x:c r="B454" s="8" t="n">
        <x:v>45911</x:v>
      </x:c>
      <x:c r="C454" t="n">
        <x:v>2025</x:v>
      </x:c>
      <x:c r="D454" t="str">
        <x:v>South Africa</x:v>
      </x:c>
      <x:c r="E454" t="str">
        <x:v>Africa</x:v>
      </x:c>
      <x:c r="F454" t="str">
        <x:v>Technology</x:v>
      </x:c>
      <x:c r="G454" t="str">
        <x:v>Headphones</x:v>
      </x:c>
      <x:c r="H454" t="str">
        <x:v>Consumer</x:v>
      </x:c>
      <x:c r="I454" t="n">
        <x:v>69</x:v>
      </x:c>
      <x:c r="J454" s="10" t="n">
        <x:v>22512.33</x:v>
      </x:c>
      <x:c r="K454" s="10" t="n">
        <x:v>16898.52</x:v>
      </x:c>
      <x:c r="L454" s="10" t="n">
        <x:v>5613.8</x:v>
      </x:c>
      <x:c r="M454" s="12" t="n">
        <x:v>0.24936579370665862</x:v>
      </x:c>
    </x:row>
    <x:row r="455">
      <x:c r="A455" t="str">
        <x:v>ORD-10454</x:v>
      </x:c>
      <x:c r="B455" s="8" t="n">
        <x:v>45956</x:v>
      </x:c>
      <x:c r="C455" t="n">
        <x:v>2025</x:v>
      </x:c>
      <x:c r="D455" t="str">
        <x:v>South Africa</x:v>
      </x:c>
      <x:c r="E455" t="str">
        <x:v>Africa</x:v>
      </x:c>
      <x:c r="F455" t="str">
        <x:v>Furniture</x:v>
      </x:c>
      <x:c r="G455" t="str">
        <x:v>Bookshelf</x:v>
      </x:c>
      <x:c r="H455" t="str">
        <x:v>Home Office</x:v>
      </x:c>
      <x:c r="I455" t="n">
        <x:v>88</x:v>
      </x:c>
      <x:c r="J455" s="10" t="n">
        <x:v>11826.55</x:v>
      </x:c>
      <x:c r="K455" s="10" t="n">
        <x:v>9079.35</x:v>
      </x:c>
      <x:c r="L455" s="10" t="n">
        <x:v>2747.2</x:v>
      </x:c>
      <x:c r="M455" s="12" t="n">
        <x:v>0.23229070915460986</x:v>
      </x:c>
    </x:row>
    <x:row r="456">
      <x:c r="A456" t="str">
        <x:v>ORD-10455</x:v>
      </x:c>
      <x:c r="B456" s="8" t="n">
        <x:v>45962</x:v>
      </x:c>
      <x:c r="C456" t="n">
        <x:v>2025</x:v>
      </x:c>
      <x:c r="D456" t="str">
        <x:v>South Africa</x:v>
      </x:c>
      <x:c r="E456" t="str">
        <x:v>Africa</x:v>
      </x:c>
      <x:c r="F456" t="str">
        <x:v>Furniture</x:v>
      </x:c>
      <x:c r="G456" t="str">
        <x:v>Office Chair</x:v>
      </x:c>
      <x:c r="H456" t="str">
        <x:v>Consumer</x:v>
      </x:c>
      <x:c r="I456" t="n">
        <x:v>27</x:v>
      </x:c>
      <x:c r="J456" s="10" t="n">
        <x:v>4931.14</x:v>
      </x:c>
      <x:c r="K456" s="10" t="n">
        <x:v>3794.98</x:v>
      </x:c>
      <x:c r="L456" s="10" t="n">
        <x:v>1136.16</x:v>
      </x:c>
      <x:c r="M456" s="12" t="n">
        <x:v>0.23040426146350657</x:v>
      </x:c>
    </x:row>
    <x:row r="457">
      <x:c r="A457" t="str">
        <x:v>ORD-10456</x:v>
      </x:c>
      <x:c r="B457" s="8" t="n">
        <x:v>45998</x:v>
      </x:c>
      <x:c r="C457" t="n">
        <x:v>2025</x:v>
      </x:c>
      <x:c r="D457" t="str">
        <x:v>South Africa</x:v>
      </x:c>
      <x:c r="E457" t="str">
        <x:v>Africa</x:v>
      </x:c>
      <x:c r="F457" t="str">
        <x:v>Technology</x:v>
      </x:c>
      <x:c r="G457" t="str">
        <x:v>Smartphone</x:v>
      </x:c>
      <x:c r="H457" t="str">
        <x:v>Corporate</x:v>
      </x:c>
      <x:c r="I457" t="n">
        <x:v>73</x:v>
      </x:c>
      <x:c r="J457" s="10" t="n">
        <x:v>14356.64</x:v>
      </x:c>
      <x:c r="K457" s="10" t="n">
        <x:v>9978.38</x:v>
      </x:c>
      <x:c r="L457" s="10" t="n">
        <x:v>4378.26</x:v>
      </x:c>
      <x:c r="M457" s="12" t="n">
        <x:v>0.3049638123164767</x:v>
      </x:c>
    </x:row>
    <x:row r="458">
      <x:c r="A458" t="str">
        <x:v>ORD-10457</x:v>
      </x:c>
      <x:c r="B458" s="8" t="n">
        <x:v>45666</x:v>
      </x:c>
      <x:c r="C458" t="n">
        <x:v>2025</x:v>
      </x:c>
      <x:c r="D458" t="str">
        <x:v>Nigeria</x:v>
      </x:c>
      <x:c r="E458" t="str">
        <x:v>Africa</x:v>
      </x:c>
      <x:c r="F458" t="str">
        <x:v>Office Supplies</x:v>
      </x:c>
      <x:c r="G458" t="str">
        <x:v>Pens</x:v>
      </x:c>
      <x:c r="H458" t="str">
        <x:v>Home Office</x:v>
      </x:c>
      <x:c r="I458" t="n">
        <x:v>53</x:v>
      </x:c>
      <x:c r="J458" s="10" t="n">
        <x:v>1932.24</x:v>
      </x:c>
      <x:c r="K458" s="10" t="n">
        <x:v>1464.78</x:v>
      </x:c>
      <x:c r="L458" s="10" t="n">
        <x:v>467.46</x:v>
      </x:c>
      <x:c r="M458" s="12" t="n">
        <x:v>0.24192706752711093</x:v>
      </x:c>
    </x:row>
    <x:row r="459">
      <x:c r="A459" t="str">
        <x:v>ORD-10458</x:v>
      </x:c>
      <x:c r="B459" s="8" t="n">
        <x:v>45694</x:v>
      </x:c>
      <x:c r="C459" t="n">
        <x:v>2025</x:v>
      </x:c>
      <x:c r="D459" t="str">
        <x:v>Nigeria</x:v>
      </x:c>
      <x:c r="E459" t="str">
        <x:v>Africa</x:v>
      </x:c>
      <x:c r="F459" t="str">
        <x:v>Technology</x:v>
      </x:c>
      <x:c r="G459" t="str">
        <x:v>Monitor</x:v>
      </x:c>
      <x:c r="H459" t="str">
        <x:v>Corporate</x:v>
      </x:c>
      <x:c r="I459" t="n">
        <x:v>25</x:v>
      </x:c>
      <x:c r="J459" s="10" t="n">
        <x:v>5875.13</x:v>
      </x:c>
      <x:c r="K459" s="10" t="n">
        <x:v>3886.66</x:v>
      </x:c>
      <x:c r="L459" s="10" t="n">
        <x:v>1988.47</x:v>
      </x:c>
      <x:c r="M459" s="12" t="n">
        <x:v>0.338456032260279</x:v>
      </x:c>
    </x:row>
    <x:row r="460">
      <x:c r="A460" t="str">
        <x:v>ORD-10459</x:v>
      </x:c>
      <x:c r="B460" s="8" t="n">
        <x:v>45730</x:v>
      </x:c>
      <x:c r="C460" t="n">
        <x:v>2025</x:v>
      </x:c>
      <x:c r="D460" t="str">
        <x:v>Nigeria</x:v>
      </x:c>
      <x:c r="E460" t="str">
        <x:v>Africa</x:v>
      </x:c>
      <x:c r="F460" t="str">
        <x:v>Technology</x:v>
      </x:c>
      <x:c r="G460" t="str">
        <x:v>Headphones</x:v>
      </x:c>
      <x:c r="H460" t="str">
        <x:v>Home Office</x:v>
      </x:c>
      <x:c r="I460" t="n">
        <x:v>54</x:v>
      </x:c>
      <x:c r="J460" s="10" t="n">
        <x:v>15461.32</x:v>
      </x:c>
      <x:c r="K460" s="10" t="n">
        <x:v>10503.99</x:v>
      </x:c>
      <x:c r="L460" s="10" t="n">
        <x:v>4957.33</x:v>
      </x:c>
      <x:c r="M460" s="12" t="n">
        <x:v>0.32062785884810435</x:v>
      </x:c>
    </x:row>
    <x:row r="461">
      <x:c r="A461" t="str">
        <x:v>ORD-10460</x:v>
      </x:c>
      <x:c r="B461" s="8" t="n">
        <x:v>45752</x:v>
      </x:c>
      <x:c r="C461" t="n">
        <x:v>2025</x:v>
      </x:c>
      <x:c r="D461" t="str">
        <x:v>Nigeria</x:v>
      </x:c>
      <x:c r="E461" t="str">
        <x:v>Africa</x:v>
      </x:c>
      <x:c r="F461" t="str">
        <x:v>Office Supplies</x:v>
      </x:c>
      <x:c r="G461" t="str">
        <x:v>Printer Paper</x:v>
      </x:c>
      <x:c r="H461" t="str">
        <x:v>Home Office</x:v>
      </x:c>
      <x:c r="I461" t="n">
        <x:v>27</x:v>
      </x:c>
      <x:c r="J461" s="10" t="n">
        <x:v>874.04</x:v>
      </x:c>
      <x:c r="K461" s="10" t="n">
        <x:v>710.41</x:v>
      </x:c>
      <x:c r="L461" s="10" t="n">
        <x:v>163.64</x:v>
      </x:c>
      <x:c r="M461" s="12" t="n">
        <x:v>0.1872168049913097</x:v>
      </x:c>
    </x:row>
    <x:row r="462">
      <x:c r="A462" t="str">
        <x:v>ORD-10461</x:v>
      </x:c>
      <x:c r="B462" s="8" t="n">
        <x:v>45788</x:v>
      </x:c>
      <x:c r="C462" t="n">
        <x:v>2025</x:v>
      </x:c>
      <x:c r="D462" t="str">
        <x:v>Nigeria</x:v>
      </x:c>
      <x:c r="E462" t="str">
        <x:v>Africa</x:v>
      </x:c>
      <x:c r="F462" t="str">
        <x:v>Office Supplies</x:v>
      </x:c>
      <x:c r="G462" t="str">
        <x:v>Pens</x:v>
      </x:c>
      <x:c r="H462" t="str">
        <x:v>Home Office</x:v>
      </x:c>
      <x:c r="I462" t="n">
        <x:v>102</x:v>
      </x:c>
      <x:c r="J462" s="10" t="n">
        <x:v>4473.71</x:v>
      </x:c>
      <x:c r="K462" s="10" t="n">
        <x:v>3887.8</x:v>
      </x:c>
      <x:c r="L462" s="10" t="n">
        <x:v>585.91</x:v>
      </x:c>
      <x:c r="M462" s="12" t="n">
        <x:v>0.13096750828230116</x:v>
      </x:c>
    </x:row>
    <x:row r="463">
      <x:c r="A463" t="str">
        <x:v>ORD-10462</x:v>
      </x:c>
      <x:c r="B463" s="8" t="n">
        <x:v>45811</x:v>
      </x:c>
      <x:c r="C463" t="n">
        <x:v>2025</x:v>
      </x:c>
      <x:c r="D463" t="str">
        <x:v>Nigeria</x:v>
      </x:c>
      <x:c r="E463" t="str">
        <x:v>Africa</x:v>
      </x:c>
      <x:c r="F463" t="str">
        <x:v>Technology</x:v>
      </x:c>
      <x:c r="G463" t="str">
        <x:v>Headphones</x:v>
      </x:c>
      <x:c r="H463" t="str">
        <x:v>Home Office</x:v>
      </x:c>
      <x:c r="I463" t="n">
        <x:v>31</x:v>
      </x:c>
      <x:c r="J463" s="10" t="n">
        <x:v>7760.66</x:v>
      </x:c>
      <x:c r="K463" s="10" t="n">
        <x:v>5762.49</x:v>
      </x:c>
      <x:c r="L463" s="10" t="n">
        <x:v>1998.16</x:v>
      </x:c>
      <x:c r="M463" s="12" t="n">
        <x:v>0.2574736240950852</x:v>
      </x:c>
    </x:row>
    <x:row r="464">
      <x:c r="A464" t="str">
        <x:v>ORD-10463</x:v>
      </x:c>
      <x:c r="B464" s="8" t="n">
        <x:v>45851</x:v>
      </x:c>
      <x:c r="C464" t="n">
        <x:v>2025</x:v>
      </x:c>
      <x:c r="D464" t="str">
        <x:v>Nigeria</x:v>
      </x:c>
      <x:c r="E464" t="str">
        <x:v>Africa</x:v>
      </x:c>
      <x:c r="F464" t="str">
        <x:v>Office Supplies</x:v>
      </x:c>
      <x:c r="G464" t="str">
        <x:v>Printer Paper</x:v>
      </x:c>
      <x:c r="H464" t="str">
        <x:v>Consumer</x:v>
      </x:c>
      <x:c r="I464" t="n">
        <x:v>55</x:v>
      </x:c>
      <x:c r="J464" s="10" t="n">
        <x:v>2301.99</x:v>
      </x:c>
      <x:c r="K464" s="10" t="n">
        <x:v>1920.07</x:v>
      </x:c>
      <x:c r="L464" s="10" t="n">
        <x:v>381.93</x:v>
      </x:c>
      <x:c r="M464" s="12" t="n">
        <x:v>0.16591063928943514</x:v>
      </x:c>
    </x:row>
    <x:row r="465">
      <x:c r="A465" t="str">
        <x:v>ORD-10464</x:v>
      </x:c>
      <x:c r="B465" s="8" t="n">
        <x:v>45875</x:v>
      </x:c>
      <x:c r="C465" t="n">
        <x:v>2025</x:v>
      </x:c>
      <x:c r="D465" t="str">
        <x:v>Nigeria</x:v>
      </x:c>
      <x:c r="E465" t="str">
        <x:v>Africa</x:v>
      </x:c>
      <x:c r="F465" t="str">
        <x:v>Technology</x:v>
      </x:c>
      <x:c r="G465" t="str">
        <x:v>Smartphone</x:v>
      </x:c>
      <x:c r="H465" t="str">
        <x:v>Consumer</x:v>
      </x:c>
      <x:c r="I465" t="n">
        <x:v>82</x:v>
      </x:c>
      <x:c r="J465" s="10" t="n">
        <x:v>21545.16</x:v>
      </x:c>
      <x:c r="K465" s="10" t="n">
        <x:v>15011.84</x:v>
      </x:c>
      <x:c r="L465" s="10" t="n">
        <x:v>6533.32</x:v>
      </x:c>
      <x:c r="M465" s="12" t="n">
        <x:v>0.30323830871285806</x:v>
      </x:c>
    </x:row>
    <x:row r="466">
      <x:c r="A466" t="str">
        <x:v>ORD-10465</x:v>
      </x:c>
      <x:c r="B466" s="8" t="n">
        <x:v>45914</x:v>
      </x:c>
      <x:c r="C466" t="n">
        <x:v>2025</x:v>
      </x:c>
      <x:c r="D466" t="str">
        <x:v>Nigeria</x:v>
      </x:c>
      <x:c r="E466" t="str">
        <x:v>Africa</x:v>
      </x:c>
      <x:c r="F466" t="str">
        <x:v>Furniture</x:v>
      </x:c>
      <x:c r="G466" t="str">
        <x:v>Bookshelf</x:v>
      </x:c>
      <x:c r="H466" t="str">
        <x:v>Home Office</x:v>
      </x:c>
      <x:c r="I466" t="n">
        <x:v>42</x:v>
      </x:c>
      <x:c r="J466" s="10" t="n">
        <x:v>7075.48</x:v>
      </x:c>
      <x:c r="K466" s="10" t="n">
        <x:v>5744.12</x:v>
      </x:c>
      <x:c r="L466" s="10" t="n">
        <x:v>1331.36</x:v>
      </x:c>
      <x:c r="M466" s="12" t="n">
        <x:v>0.1881648957013138</x:v>
      </x:c>
    </x:row>
    <x:row r="467">
      <x:c r="A467" t="str">
        <x:v>ORD-10466</x:v>
      </x:c>
      <x:c r="B467" s="8" t="n">
        <x:v>45934</x:v>
      </x:c>
      <x:c r="C467" t="n">
        <x:v>2025</x:v>
      </x:c>
      <x:c r="D467" t="str">
        <x:v>Nigeria</x:v>
      </x:c>
      <x:c r="E467" t="str">
        <x:v>Africa</x:v>
      </x:c>
      <x:c r="F467" t="str">
        <x:v>Office Supplies</x:v>
      </x:c>
      <x:c r="G467" t="str">
        <x:v>Desk Organizer</x:v>
      </x:c>
      <x:c r="H467" t="str">
        <x:v>Consumer</x:v>
      </x:c>
      <x:c r="I467" t="n">
        <x:v>26</x:v>
      </x:c>
      <x:c r="J467" s="10" t="n">
        <x:v>1444.12</x:v>
      </x:c>
      <x:c r="K467" s="10" t="n">
        <x:v>1232.12</x:v>
      </x:c>
      <x:c r="L467" s="10" t="n">
        <x:v>212</x:v>
      </x:c>
      <x:c r="M467" s="12" t="n">
        <x:v>0.14680157698909543</x:v>
      </x:c>
    </x:row>
    <x:row r="468">
      <x:c r="A468" t="str">
        <x:v>ORD-10467</x:v>
      </x:c>
      <x:c r="B468" s="8" t="n">
        <x:v>45970</x:v>
      </x:c>
      <x:c r="C468" t="n">
        <x:v>2025</x:v>
      </x:c>
      <x:c r="D468" t="str">
        <x:v>Nigeria</x:v>
      </x:c>
      <x:c r="E468" t="str">
        <x:v>Africa</x:v>
      </x:c>
      <x:c r="F468" t="str">
        <x:v>Office Supplies</x:v>
      </x:c>
      <x:c r="G468" t="str">
        <x:v>Desk Organizer</x:v>
      </x:c>
      <x:c r="H468" t="str">
        <x:v>Corporate</x:v>
      </x:c>
      <x:c r="I468" t="n">
        <x:v>69</x:v>
      </x:c>
      <x:c r="J468" s="10" t="n">
        <x:v>2793.23</x:v>
      </x:c>
      <x:c r="K468" s="10" t="n">
        <x:v>2383.24</x:v>
      </x:c>
      <x:c r="L468" s="10" t="n">
        <x:v>409.99</x:v>
      </x:c>
      <x:c r="M468" s="12" t="n">
        <x:v>0.14677962265710814</x:v>
      </x:c>
    </x:row>
    <x:row r="469">
      <x:c r="A469" t="str">
        <x:v>ORD-10468</x:v>
      </x:c>
      <x:c r="B469" s="8" t="n">
        <x:v>46001</x:v>
      </x:c>
      <x:c r="C469" t="n">
        <x:v>2025</x:v>
      </x:c>
      <x:c r="D469" t="str">
        <x:v>Nigeria</x:v>
      </x:c>
      <x:c r="E469" t="str">
        <x:v>Africa</x:v>
      </x:c>
      <x:c r="F469" t="str">
        <x:v>Office Supplies</x:v>
      </x:c>
      <x:c r="G469" t="str">
        <x:v>Printer Paper</x:v>
      </x:c>
      <x:c r="H469" t="str">
        <x:v>Consumer</x:v>
      </x:c>
      <x:c r="I469" t="n">
        <x:v>85</x:v>
      </x:c>
      <x:c r="J469" s="10" t="n">
        <x:v>4071.04</x:v>
      </x:c>
      <x:c r="K469" s="10" t="n">
        <x:v>3189.49</x:v>
      </x:c>
      <x:c r="L469" s="10" t="n">
        <x:v>881.55</x:v>
      </x:c>
      <x:c r="M469" s="12" t="n">
        <x:v>0.2165415566631495</x:v>
      </x:c>
    </x:row>
    <x:row r="470">
      <x:c r="A470" t="str">
        <x:v>ORD-10469</x:v>
      </x:c>
      <x:c r="B470" s="8" t="n">
        <x:v>45664</x:v>
      </x:c>
      <x:c r="C470" t="n">
        <x:v>2025</x:v>
      </x:c>
      <x:c r="D470" t="str">
        <x:v>Kenya</x:v>
      </x:c>
      <x:c r="E470" t="str">
        <x:v>Africa</x:v>
      </x:c>
      <x:c r="F470" t="str">
        <x:v>Office Supplies</x:v>
      </x:c>
      <x:c r="G470" t="str">
        <x:v>Printer Paper</x:v>
      </x:c>
      <x:c r="H470" t="str">
        <x:v>Home Office</x:v>
      </x:c>
      <x:c r="I470" t="n">
        <x:v>53</x:v>
      </x:c>
      <x:c r="J470" s="10" t="n">
        <x:v>1705.77</x:v>
      </x:c>
      <x:c r="K470" s="10" t="n">
        <x:v>1359.78</x:v>
      </x:c>
      <x:c r="L470" s="10" t="n">
        <x:v>345.98</x:v>
      </x:c>
      <x:c r="M470" s="12" t="n">
        <x:v>0.2028312243606352</x:v>
      </x:c>
    </x:row>
    <x:row r="471">
      <x:c r="A471" t="str">
        <x:v>ORD-10470</x:v>
      </x:c>
      <x:c r="B471" s="8" t="n">
        <x:v>45696</x:v>
      </x:c>
      <x:c r="C471" t="n">
        <x:v>2025</x:v>
      </x:c>
      <x:c r="D471" t="str">
        <x:v>Kenya</x:v>
      </x:c>
      <x:c r="E471" t="str">
        <x:v>Africa</x:v>
      </x:c>
      <x:c r="F471" t="str">
        <x:v>Office Supplies</x:v>
      </x:c>
      <x:c r="G471" t="str">
        <x:v>Desk Organizer</x:v>
      </x:c>
      <x:c r="H471" t="str">
        <x:v>Corporate</x:v>
      </x:c>
      <x:c r="I471" t="n">
        <x:v>97</x:v>
      </x:c>
      <x:c r="J471" s="10" t="n">
        <x:v>2798.25</x:v>
      </x:c>
      <x:c r="K471" s="10" t="n">
        <x:v>2132.97</x:v>
      </x:c>
      <x:c r="L471" s="10" t="n">
        <x:v>665.28</x:v>
      </x:c>
      <x:c r="M471" s="12" t="n">
        <x:v>0.23774950724283883</x:v>
      </x:c>
    </x:row>
    <x:row r="472">
      <x:c r="A472" t="str">
        <x:v>ORD-10471</x:v>
      </x:c>
      <x:c r="B472" s="8" t="n">
        <x:v>45733</x:v>
      </x:c>
      <x:c r="C472" t="n">
        <x:v>2025</x:v>
      </x:c>
      <x:c r="D472" t="str">
        <x:v>Kenya</x:v>
      </x:c>
      <x:c r="E472" t="str">
        <x:v>Africa</x:v>
      </x:c>
      <x:c r="F472" t="str">
        <x:v>Furniture</x:v>
      </x:c>
      <x:c r="G472" t="str">
        <x:v>Storage Cabinet</x:v>
      </x:c>
      <x:c r="H472" t="str">
        <x:v>Consumer</x:v>
      </x:c>
      <x:c r="I472" t="n">
        <x:v>45</x:v>
      </x:c>
      <x:c r="J472" s="10" t="n">
        <x:v>6035.41</x:v>
      </x:c>
      <x:c r="K472" s="10" t="n">
        <x:v>4579.24</x:v>
      </x:c>
      <x:c r="L472" s="10" t="n">
        <x:v>1456.17</x:v>
      </x:c>
      <x:c r="M472" s="12" t="n">
        <x:v>0.24127157217652692</x:v>
      </x:c>
    </x:row>
    <x:row r="473">
      <x:c r="A473" t="str">
        <x:v>ORD-10472</x:v>
      </x:c>
      <x:c r="B473" s="8" t="n">
        <x:v>45761</x:v>
      </x:c>
      <x:c r="C473" t="n">
        <x:v>2025</x:v>
      </x:c>
      <x:c r="D473" t="str">
        <x:v>Kenya</x:v>
      </x:c>
      <x:c r="E473" t="str">
        <x:v>Africa</x:v>
      </x:c>
      <x:c r="F473" t="str">
        <x:v>Technology</x:v>
      </x:c>
      <x:c r="G473" t="str">
        <x:v>Monitor</x:v>
      </x:c>
      <x:c r="H473" t="str">
        <x:v>Corporate</x:v>
      </x:c>
      <x:c r="I473" t="n">
        <x:v>31</x:v>
      </x:c>
      <x:c r="J473" s="10" t="n">
        <x:v>6283.52</x:v>
      </x:c>
      <x:c r="K473" s="10" t="n">
        <x:v>4205.71</x:v>
      </x:c>
      <x:c r="L473" s="10" t="n">
        <x:v>2077.81</x:v>
      </x:c>
      <x:c r="M473" s="12" t="n">
        <x:v>0.3306767963484349</x:v>
      </x:c>
    </x:row>
    <x:row r="474">
      <x:c r="A474" t="str">
        <x:v>ORD-10473</x:v>
      </x:c>
      <x:c r="B474" s="8" t="n">
        <x:v>45778</x:v>
      </x:c>
      <x:c r="C474" t="n">
        <x:v>2025</x:v>
      </x:c>
      <x:c r="D474" t="str">
        <x:v>Kenya</x:v>
      </x:c>
      <x:c r="E474" t="str">
        <x:v>Africa</x:v>
      </x:c>
      <x:c r="F474" t="str">
        <x:v>Furniture</x:v>
      </x:c>
      <x:c r="G474" t="str">
        <x:v>Desk</x:v>
      </x:c>
      <x:c r="H474" t="str">
        <x:v>Corporate</x:v>
      </x:c>
      <x:c r="I474" t="n">
        <x:v>113</x:v>
      </x:c>
      <x:c r="J474" s="10" t="n">
        <x:v>11460.28</x:v>
      </x:c>
      <x:c r="K474" s="10" t="n">
        <x:v>8704.27</x:v>
      </x:c>
      <x:c r="L474" s="10" t="n">
        <x:v>2756.01</x:v>
      </x:c>
      <x:c r="M474" s="12" t="n">
        <x:v>0.240483619631111</x:v>
      </x:c>
    </x:row>
    <x:row r="475">
      <x:c r="A475" t="str">
        <x:v>ORD-10474</x:v>
      </x:c>
      <x:c r="B475" s="8" t="n">
        <x:v>45818</x:v>
      </x:c>
      <x:c r="C475" t="n">
        <x:v>2025</x:v>
      </x:c>
      <x:c r="D475" t="str">
        <x:v>Kenya</x:v>
      </x:c>
      <x:c r="E475" t="str">
        <x:v>Africa</x:v>
      </x:c>
      <x:c r="F475" t="str">
        <x:v>Furniture</x:v>
      </x:c>
      <x:c r="G475" t="str">
        <x:v>Desk</x:v>
      </x:c>
      <x:c r="H475" t="str">
        <x:v>Consumer</x:v>
      </x:c>
      <x:c r="I475" t="n">
        <x:v>22</x:v>
      </x:c>
      <x:c r="J475" s="10" t="n">
        <x:v>3708.04</x:v>
      </x:c>
      <x:c r="K475" s="10" t="n">
        <x:v>2900.59</x:v>
      </x:c>
      <x:c r="L475" s="10" t="n">
        <x:v>807.45</x:v>
      </x:c>
      <x:c r="M475" s="12" t="n">
        <x:v>0.217757002866218</x:v>
      </x:c>
    </x:row>
    <x:row r="476">
      <x:c r="A476" t="str">
        <x:v>ORD-10475</x:v>
      </x:c>
      <x:c r="B476" s="8" t="n">
        <x:v>45856</x:v>
      </x:c>
      <x:c r="C476" t="n">
        <x:v>2025</x:v>
      </x:c>
      <x:c r="D476" t="str">
        <x:v>Kenya</x:v>
      </x:c>
      <x:c r="E476" t="str">
        <x:v>Africa</x:v>
      </x:c>
      <x:c r="F476" t="str">
        <x:v>Office Supplies</x:v>
      </x:c>
      <x:c r="G476" t="str">
        <x:v>Desk Organizer</x:v>
      </x:c>
      <x:c r="H476" t="str">
        <x:v>Corporate</x:v>
      </x:c>
      <x:c r="I476" t="n">
        <x:v>104</x:v>
      </x:c>
      <x:c r="J476" s="10" t="n">
        <x:v>3799.83</x:v>
      </x:c>
      <x:c r="K476" s="10" t="n">
        <x:v>3013.78</x:v>
      </x:c>
      <x:c r="L476" s="10" t="n">
        <x:v>786.05</x:v>
      </x:c>
      <x:c r="M476" s="12" t="n">
        <x:v>0.20686447459748225</x:v>
      </x:c>
    </x:row>
    <x:row r="477">
      <x:c r="A477" t="str">
        <x:v>ORD-10476</x:v>
      </x:c>
      <x:c r="B477" s="8" t="n">
        <x:v>45876</x:v>
      </x:c>
      <x:c r="C477" t="n">
        <x:v>2025</x:v>
      </x:c>
      <x:c r="D477" t="str">
        <x:v>Kenya</x:v>
      </x:c>
      <x:c r="E477" t="str">
        <x:v>Africa</x:v>
      </x:c>
      <x:c r="F477" t="str">
        <x:v>Office Supplies</x:v>
      </x:c>
      <x:c r="G477" t="str">
        <x:v>Pens</x:v>
      </x:c>
      <x:c r="H477" t="str">
        <x:v>Corporate</x:v>
      </x:c>
      <x:c r="I477" t="n">
        <x:v>25</x:v>
      </x:c>
      <x:c r="J477" s="10" t="n">
        <x:v>862.36</x:v>
      </x:c>
      <x:c r="K477" s="10" t="n">
        <x:v>697.34</x:v>
      </x:c>
      <x:c r="L477" s="10" t="n">
        <x:v>165.02</x:v>
      </x:c>
      <x:c r="M477" s="12" t="n">
        <x:v>0.19135656379543972</x:v>
      </x:c>
    </x:row>
    <x:row r="478">
      <x:c r="A478" t="str">
        <x:v>ORD-10477</x:v>
      </x:c>
      <x:c r="B478" s="8" t="n">
        <x:v>45922</x:v>
      </x:c>
      <x:c r="C478" t="n">
        <x:v>2025</x:v>
      </x:c>
      <x:c r="D478" t="str">
        <x:v>Kenya</x:v>
      </x:c>
      <x:c r="E478" t="str">
        <x:v>Africa</x:v>
      </x:c>
      <x:c r="F478" t="str">
        <x:v>Technology</x:v>
      </x:c>
      <x:c r="G478" t="str">
        <x:v>Monitor</x:v>
      </x:c>
      <x:c r="H478" t="str">
        <x:v>Corporate</x:v>
      </x:c>
      <x:c r="I478" t="n">
        <x:v>90</x:v>
      </x:c>
      <x:c r="J478" s="10" t="n">
        <x:v>21000.37</x:v>
      </x:c>
      <x:c r="K478" s="10" t="n">
        <x:v>14067.24</x:v>
      </x:c>
      <x:c r="L478" s="10" t="n">
        <x:v>6933.13</x:v>
      </x:c>
      <x:c r="M478" s="12" t="n">
        <x:v>0.3301431763021703</x:v>
      </x:c>
    </x:row>
    <x:row r="479">
      <x:c r="A479" t="str">
        <x:v>ORD-10478</x:v>
      </x:c>
      <x:c r="B479" s="8" t="n">
        <x:v>45938</x:v>
      </x:c>
      <x:c r="C479" t="n">
        <x:v>2025</x:v>
      </x:c>
      <x:c r="D479" t="str">
        <x:v>Kenya</x:v>
      </x:c>
      <x:c r="E479" t="str">
        <x:v>Africa</x:v>
      </x:c>
      <x:c r="F479" t="str">
        <x:v>Office Supplies</x:v>
      </x:c>
      <x:c r="G479" t="str">
        <x:v>Printer Paper</x:v>
      </x:c>
      <x:c r="H479" t="str">
        <x:v>Corporate</x:v>
      </x:c>
      <x:c r="I479" t="n">
        <x:v>104</x:v>
      </x:c>
      <x:c r="J479" s="10" t="n">
        <x:v>3880.8</x:v>
      </x:c>
      <x:c r="K479" s="10" t="n">
        <x:v>2932.29</x:v>
      </x:c>
      <x:c r="L479" s="10" t="n">
        <x:v>948.51</x:v>
      </x:c>
      <x:c r="M479" s="12" t="n">
        <x:v>0.2444113572059287</x:v>
      </x:c>
    </x:row>
    <x:row r="480">
      <x:c r="A480" t="str">
        <x:v>ORD-10479</x:v>
      </x:c>
      <x:c r="B480" s="8" t="n">
        <x:v>45963</x:v>
      </x:c>
      <x:c r="C480" t="n">
        <x:v>2025</x:v>
      </x:c>
      <x:c r="D480" t="str">
        <x:v>Kenya</x:v>
      </x:c>
      <x:c r="E480" t="str">
        <x:v>Africa</x:v>
      </x:c>
      <x:c r="F480" t="str">
        <x:v>Technology</x:v>
      </x:c>
      <x:c r="G480" t="str">
        <x:v>Smartphone</x:v>
      </x:c>
      <x:c r="H480" t="str">
        <x:v>Consumer</x:v>
      </x:c>
      <x:c r="I480" t="n">
        <x:v>70</x:v>
      </x:c>
      <x:c r="J480" s="10" t="n">
        <x:v>11840.78</x:v>
      </x:c>
      <x:c r="K480" s="10" t="n">
        <x:v>8247.39</x:v>
      </x:c>
      <x:c r="L480" s="10" t="n">
        <x:v>3593.39</x:v>
      </x:c>
      <x:c r="M480" s="12" t="n">
        <x:v>0.30347561533048656</x:v>
      </x:c>
    </x:row>
    <x:row r="481">
      <x:c r="A481" t="str">
        <x:v>ORD-10480</x:v>
      </x:c>
      <x:c r="B481" s="8" t="n">
        <x:v>45997</x:v>
      </x:c>
      <x:c r="C481" t="n">
        <x:v>2025</x:v>
      </x:c>
      <x:c r="D481" t="str">
        <x:v>Kenya</x:v>
      </x:c>
      <x:c r="E481" t="str">
        <x:v>Africa</x:v>
      </x:c>
      <x:c r="F481" t="str">
        <x:v>Furniture</x:v>
      </x:c>
      <x:c r="G481" t="str">
        <x:v>Desk</x:v>
      </x:c>
      <x:c r="H481" t="str">
        <x:v>Consumer</x:v>
      </x:c>
      <x:c r="I481" t="n">
        <x:v>16</x:v>
      </x:c>
      <x:c r="J481" s="10" t="n">
        <x:v>2401.43</x:v>
      </x:c>
      <x:c r="K481" s="10" t="n">
        <x:v>1791.04</x:v>
      </x:c>
      <x:c r="L481" s="10" t="n">
        <x:v>610.4</x:v>
      </x:c>
      <x:c r="M481" s="12" t="n">
        <x:v>0.25417995334686394</x:v>
      </x:c>
    </x:row>
    <x:row r="482">
      <x:c r="A482" t="str">
        <x:v>ORD-10481</x:v>
      </x:c>
      <x:c r="B482" s="8" t="n">
        <x:v>46028</x:v>
      </x:c>
      <x:c r="C482" t="n">
        <x:v>2026</x:v>
      </x:c>
      <x:c r="D482" t="str">
        <x:v>United States</x:v>
      </x:c>
      <x:c r="E482" t="str">
        <x:v>North America</x:v>
      </x:c>
      <x:c r="F482" t="str">
        <x:v>Furniture</x:v>
      </x:c>
      <x:c r="G482" t="str">
        <x:v>Bookshelf</x:v>
      </x:c>
      <x:c r="H482" t="str">
        <x:v>Home Office</x:v>
      </x:c>
      <x:c r="I482" t="n">
        <x:v>81</x:v>
      </x:c>
      <x:c r="J482" s="10" t="n">
        <x:v>52940.04</x:v>
      </x:c>
      <x:c r="K482" s="10" t="n">
        <x:v>39361.35</x:v>
      </x:c>
      <x:c r="L482" s="10" t="n">
        <x:v>13578.69</x:v>
      </x:c>
      <x:c r="M482" s="12" t="n">
        <x:v>0.25649186217121506</x:v>
      </x:c>
    </x:row>
    <x:row r="483">
      <x:c r="A483" t="str">
        <x:v>ORD-10482</x:v>
      </x:c>
      <x:c r="B483" s="8" t="n">
        <x:v>46057</x:v>
      </x:c>
      <x:c r="C483" t="n">
        <x:v>2026</x:v>
      </x:c>
      <x:c r="D483" t="str">
        <x:v>United States</x:v>
      </x:c>
      <x:c r="E483" t="str">
        <x:v>North America</x:v>
      </x:c>
      <x:c r="F483" t="str">
        <x:v>Furniture</x:v>
      </x:c>
      <x:c r="G483" t="str">
        <x:v>Desk</x:v>
      </x:c>
      <x:c r="H483" t="str">
        <x:v>Home Office</x:v>
      </x:c>
      <x:c r="I483" t="n">
        <x:v>114</x:v>
      </x:c>
      <x:c r="J483" s="10" t="n">
        <x:v>77824.01</x:v>
      </x:c>
      <x:c r="K483" s="10" t="n">
        <x:v>57749.13</x:v>
      </x:c>
      <x:c r="L483" s="10" t="n">
        <x:v>20074.88</x:v>
      </x:c>
      <x:c r="M483" s="12" t="n">
        <x:v>0.257952300506605</x:v>
      </x:c>
    </x:row>
    <x:row r="484">
      <x:c r="A484" t="str">
        <x:v>ORD-10483</x:v>
      </x:c>
      <x:c r="B484" s="8" t="n">
        <x:v>46100</x:v>
      </x:c>
      <x:c r="C484" t="n">
        <x:v>2026</x:v>
      </x:c>
      <x:c r="D484" t="str">
        <x:v>United States</x:v>
      </x:c>
      <x:c r="E484" t="str">
        <x:v>North America</x:v>
      </x:c>
      <x:c r="F484" t="str">
        <x:v>Technology</x:v>
      </x:c>
      <x:c r="G484" t="str">
        <x:v>Monitor</x:v>
      </x:c>
      <x:c r="H484" t="str">
        <x:v>Corporate</x:v>
      </x:c>
      <x:c r="I484" t="n">
        <x:v>49</x:v>
      </x:c>
      <x:c r="J484" s="10" t="n">
        <x:v>45139.28</x:v>
      </x:c>
      <x:c r="K484" s="10" t="n">
        <x:v>33332.92</x:v>
      </x:c>
      <x:c r="L484" s="10" t="n">
        <x:v>11806.36</x:v>
      </x:c>
      <x:c r="M484" s="12" t="n">
        <x:v>0.26155395809917736</x:v>
      </x:c>
    </x:row>
    <x:row r="485">
      <x:c r="A485" t="str">
        <x:v>ORD-10484</x:v>
      </x:c>
      <x:c r="B485" s="8" t="n">
        <x:v>46140</x:v>
      </x:c>
      <x:c r="C485" t="n">
        <x:v>2026</x:v>
      </x:c>
      <x:c r="D485" t="str">
        <x:v>United States</x:v>
      </x:c>
      <x:c r="E485" t="str">
        <x:v>North America</x:v>
      </x:c>
      <x:c r="F485" t="str">
        <x:v>Office Supplies</x:v>
      </x:c>
      <x:c r="G485" t="str">
        <x:v>Printer Paper</x:v>
      </x:c>
      <x:c r="H485" t="str">
        <x:v>Corporate</x:v>
      </x:c>
      <x:c r="I485" t="n">
        <x:v>73</x:v>
      </x:c>
      <x:c r="J485" s="10" t="n">
        <x:v>11920.13</x:v>
      </x:c>
      <x:c r="K485" s="10" t="n">
        <x:v>10291.21</x:v>
      </x:c>
      <x:c r="L485" s="10" t="n">
        <x:v>1628.92</x:v>
      </x:c>
      <x:c r="M485" s="12" t="n">
        <x:v>0.13665269330109048</x:v>
      </x:c>
    </x:row>
    <x:row r="486">
      <x:c r="A486" t="str">
        <x:v>ORD-10485</x:v>
      </x:c>
      <x:c r="B486" s="8" t="n">
        <x:v>46161</x:v>
      </x:c>
      <x:c r="C486" t="n">
        <x:v>2026</x:v>
      </x:c>
      <x:c r="D486" t="str">
        <x:v>United States</x:v>
      </x:c>
      <x:c r="E486" t="str">
        <x:v>North America</x:v>
      </x:c>
      <x:c r="F486" t="str">
        <x:v>Office Supplies</x:v>
      </x:c>
      <x:c r="G486" t="str">
        <x:v>Pens</x:v>
      </x:c>
      <x:c r="H486" t="str">
        <x:v>Corporate</x:v>
      </x:c>
      <x:c r="I486" t="n">
        <x:v>35</x:v>
      </x:c>
      <x:c r="J486" s="10" t="n">
        <x:v>4885.29</x:v>
      </x:c>
      <x:c r="K486" s="10" t="n">
        <x:v>4189.88</x:v>
      </x:c>
      <x:c r="L486" s="10" t="n">
        <x:v>695.41</x:v>
      </x:c>
      <x:c r="M486" s="12" t="n">
        <x:v>0.1423485898026244</x:v>
      </x:c>
    </x:row>
    <x:row r="487">
      <x:c r="A487" t="str">
        <x:v>ORD-10486</x:v>
      </x:c>
      <x:c r="B487" s="8" t="n">
        <x:v>46201</x:v>
      </x:c>
      <x:c r="C487" t="n">
        <x:v>2026</x:v>
      </x:c>
      <x:c r="D487" t="str">
        <x:v>United States</x:v>
      </x:c>
      <x:c r="E487" t="str">
        <x:v>North America</x:v>
      </x:c>
      <x:c r="F487" t="str">
        <x:v>Office Supplies</x:v>
      </x:c>
      <x:c r="G487" t="str">
        <x:v>Printer Paper</x:v>
      </x:c>
      <x:c r="H487" t="str">
        <x:v>Consumer</x:v>
      </x:c>
      <x:c r="I487" t="n">
        <x:v>109</x:v>
      </x:c>
      <x:c r="J487" s="10" t="n">
        <x:v>17778.77</x:v>
      </x:c>
      <x:c r="K487" s="10" t="n">
        <x:v>15373.58</x:v>
      </x:c>
      <x:c r="L487" s="10" t="n">
        <x:v>2405.19</x:v>
      </x:c>
      <x:c r="M487" s="12" t="n">
        <x:v>0.13528454887153715</x:v>
      </x:c>
    </x:row>
    <x:row r="488">
      <x:c r="A488" t="str">
        <x:v>ORD-10487</x:v>
      </x:c>
      <x:c r="B488" s="8" t="n">
        <x:v>46209</x:v>
      </x:c>
      <x:c r="C488" t="n">
        <x:v>2026</x:v>
      </x:c>
      <x:c r="D488" t="str">
        <x:v>United States</x:v>
      </x:c>
      <x:c r="E488" t="str">
        <x:v>North America</x:v>
      </x:c>
      <x:c r="F488" t="str">
        <x:v>Technology</x:v>
      </x:c>
      <x:c r="G488" t="str">
        <x:v>Smartphone</x:v>
      </x:c>
      <x:c r="H488" t="str">
        <x:v>Consumer</x:v>
      </x:c>
      <x:c r="I488" t="n">
        <x:v>75</x:v>
      </x:c>
      <x:c r="J488" s="10" t="n">
        <x:v>62863.57</x:v>
      </x:c>
      <x:c r="K488" s="10" t="n">
        <x:v>41463.1</x:v>
      </x:c>
      <x:c r="L488" s="10" t="n">
        <x:v>21400.47</x:v>
      </x:c>
      <x:c r="M488" s="12" t="n">
        <x:v>0.3404271854311985</x:v>
      </x:c>
    </x:row>
    <x:row r="489">
      <x:c r="A489" t="str">
        <x:v>ORD-10488</x:v>
      </x:c>
      <x:c r="B489" s="8" t="n">
        <x:v>46245</x:v>
      </x:c>
      <x:c r="C489" t="n">
        <x:v>2026</x:v>
      </x:c>
      <x:c r="D489" t="str">
        <x:v>United States</x:v>
      </x:c>
      <x:c r="E489" t="str">
        <x:v>North America</x:v>
      </x:c>
      <x:c r="F489" t="str">
        <x:v>Technology</x:v>
      </x:c>
      <x:c r="G489" t="str">
        <x:v>Headphones</x:v>
      </x:c>
      <x:c r="H489" t="str">
        <x:v>Consumer</x:v>
      </x:c>
      <x:c r="I489" t="n">
        <x:v>56</x:v>
      </x:c>
      <x:c r="J489" s="10" t="n">
        <x:v>43572.93</x:v>
      </x:c>
      <x:c r="K489" s="10" t="n">
        <x:v>28762.38</x:v>
      </x:c>
      <x:c r="L489" s="10" t="n">
        <x:v>14810.55</x:v>
      </x:c>
      <x:c r="M489" s="12" t="n">
        <x:v>0.3399025717857074</x:v>
      </x:c>
    </x:row>
    <x:row r="490">
      <x:c r="A490" t="str">
        <x:v>ORD-10489</x:v>
      </x:c>
      <x:c r="B490" s="8" t="n">
        <x:v>46267</x:v>
      </x:c>
      <x:c r="C490" t="n">
        <x:v>2026</x:v>
      </x:c>
      <x:c r="D490" t="str">
        <x:v>United States</x:v>
      </x:c>
      <x:c r="E490" t="str">
        <x:v>North America</x:v>
      </x:c>
      <x:c r="F490" t="str">
        <x:v>Furniture</x:v>
      </x:c>
      <x:c r="G490" t="str">
        <x:v>Office Chair</x:v>
      </x:c>
      <x:c r="H490" t="str">
        <x:v>Home Office</x:v>
      </x:c>
      <x:c r="I490" t="n">
        <x:v>62</x:v>
      </x:c>
      <x:c r="J490" s="10" t="n">
        <x:v>27295.24</x:v>
      </x:c>
      <x:c r="K490" s="10" t="n">
        <x:v>20449.62</x:v>
      </x:c>
      <x:c r="L490" s="10" t="n">
        <x:v>6845.62</x:v>
      </x:c>
      <x:c r="M490" s="12" t="n">
        <x:v>0.25079908600623096</x:v>
      </x:c>
    </x:row>
    <x:row r="491">
      <x:c r="A491" t="str">
        <x:v>ORD-10490</x:v>
      </x:c>
      <x:c r="B491" s="8" t="n">
        <x:v>46310</x:v>
      </x:c>
      <x:c r="C491" t="n">
        <x:v>2026</x:v>
      </x:c>
      <x:c r="D491" t="str">
        <x:v>United States</x:v>
      </x:c>
      <x:c r="E491" t="str">
        <x:v>North America</x:v>
      </x:c>
      <x:c r="F491" t="str">
        <x:v>Technology</x:v>
      </x:c>
      <x:c r="G491" t="str">
        <x:v>Smartphone</x:v>
      </x:c>
      <x:c r="H491" t="str">
        <x:v>Home Office</x:v>
      </x:c>
      <x:c r="I491" t="n">
        <x:v>20</x:v>
      </x:c>
      <x:c r="J491" s="10" t="n">
        <x:v>22892.74</x:v>
      </x:c>
      <x:c r="K491" s="10" t="n">
        <x:v>17438.06</x:v>
      </x:c>
      <x:c r="L491" s="10" t="n">
        <x:v>5454.68</x:v>
      </x:c>
      <x:c r="M491" s="12" t="n">
        <x:v>0.23827117253272936</x:v>
      </x:c>
    </x:row>
    <x:row r="492">
      <x:c r="A492" t="str">
        <x:v>ORD-10491</x:v>
      </x:c>
      <x:c r="B492" s="8" t="n">
        <x:v>46333</x:v>
      </x:c>
      <x:c r="C492" t="n">
        <x:v>2026</x:v>
      </x:c>
      <x:c r="D492" t="str">
        <x:v>United States</x:v>
      </x:c>
      <x:c r="E492" t="str">
        <x:v>North America</x:v>
      </x:c>
      <x:c r="F492" t="str">
        <x:v>Furniture</x:v>
      </x:c>
      <x:c r="G492" t="str">
        <x:v>Bookshelf</x:v>
      </x:c>
      <x:c r="H492" t="str">
        <x:v>Corporate</x:v>
      </x:c>
      <x:c r="I492" t="n">
        <x:v>26</x:v>
      </x:c>
      <x:c r="J492" s="10" t="n">
        <x:v>15071.47</x:v>
      </x:c>
      <x:c r="K492" s="10" t="n">
        <x:v>12494.91</x:v>
      </x:c>
      <x:c r="L492" s="10" t="n">
        <x:v>2576.56</x:v>
      </x:c>
      <x:c r="M492" s="12" t="n">
        <x:v>0.17095630082689459</x:v>
      </x:c>
    </x:row>
    <x:row r="493">
      <x:c r="A493" t="str">
        <x:v>ORD-10492</x:v>
      </x:c>
      <x:c r="B493" s="8" t="n">
        <x:v>46372</x:v>
      </x:c>
      <x:c r="C493" t="n">
        <x:v>2026</x:v>
      </x:c>
      <x:c r="D493" t="str">
        <x:v>United States</x:v>
      </x:c>
      <x:c r="E493" t="str">
        <x:v>North America</x:v>
      </x:c>
      <x:c r="F493" t="str">
        <x:v>Furniture</x:v>
      </x:c>
      <x:c r="G493" t="str">
        <x:v>Bookshelf</x:v>
      </x:c>
      <x:c r="H493" t="str">
        <x:v>Home Office</x:v>
      </x:c>
      <x:c r="I493" t="n">
        <x:v>94</x:v>
      </x:c>
      <x:c r="J493" s="10" t="n">
        <x:v>45105.69</x:v>
      </x:c>
      <x:c r="K493" s="10" t="n">
        <x:v>35444.37</x:v>
      </x:c>
      <x:c r="L493" s="10" t="n">
        <x:v>9661.31</x:v>
      </x:c>
      <x:c r="M493" s="12" t="n">
        <x:v>0.21419283532353436</x:v>
      </x:c>
    </x:row>
    <x:row r="494">
      <x:c r="A494" t="str">
        <x:v>ORD-10493</x:v>
      </x:c>
      <x:c r="B494" s="8" t="n">
        <x:v>46040</x:v>
      </x:c>
      <x:c r="C494" t="n">
        <x:v>2026</x:v>
      </x:c>
      <x:c r="D494" t="str">
        <x:v>Canada</x:v>
      </x:c>
      <x:c r="E494" t="str">
        <x:v>North America</x:v>
      </x:c>
      <x:c r="F494" t="str">
        <x:v>Technology</x:v>
      </x:c>
      <x:c r="G494" t="str">
        <x:v>Smartphone</x:v>
      </x:c>
      <x:c r="H494" t="str">
        <x:v>Consumer</x:v>
      </x:c>
      <x:c r="I494" t="n">
        <x:v>15</x:v>
      </x:c>
      <x:c r="J494" s="10" t="n">
        <x:v>9269.1</x:v>
      </x:c>
      <x:c r="K494" s="10" t="n">
        <x:v>7110.61</x:v>
      </x:c>
      <x:c r="L494" s="10" t="n">
        <x:v>2158.49</x:v>
      </x:c>
      <x:c r="M494" s="12" t="n">
        <x:v>0.23286923071712048</x:v>
      </x:c>
    </x:row>
    <x:row r="495">
      <x:c r="A495" t="str">
        <x:v>ORD-10494</x:v>
      </x:c>
      <x:c r="B495" s="8" t="n">
        <x:v>46077</x:v>
      </x:c>
      <x:c r="C495" t="n">
        <x:v>2026</x:v>
      </x:c>
      <x:c r="D495" t="str">
        <x:v>Canada</x:v>
      </x:c>
      <x:c r="E495" t="str">
        <x:v>North America</x:v>
      </x:c>
      <x:c r="F495" t="str">
        <x:v>Furniture</x:v>
      </x:c>
      <x:c r="G495" t="str">
        <x:v>Office Chair</x:v>
      </x:c>
      <x:c r="H495" t="str">
        <x:v>Corporate</x:v>
      </x:c>
      <x:c r="I495" t="n">
        <x:v>15</x:v>
      </x:c>
      <x:c r="J495" s="10" t="n">
        <x:v>5281.92</x:v>
      </x:c>
      <x:c r="K495" s="10" t="n">
        <x:v>4145.5</x:v>
      </x:c>
      <x:c r="L495" s="10" t="n">
        <x:v>1136.42</x:v>
      </x:c>
      <x:c r="M495" s="12" t="n">
        <x:v>0.21515297965616512</x:v>
      </x:c>
    </x:row>
    <x:row r="496">
      <x:c r="A496" t="str">
        <x:v>ORD-10495</x:v>
      </x:c>
      <x:c r="B496" s="8" t="n">
        <x:v>46097</x:v>
      </x:c>
      <x:c r="C496" t="n">
        <x:v>2026</x:v>
      </x:c>
      <x:c r="D496" t="str">
        <x:v>Canada</x:v>
      </x:c>
      <x:c r="E496" t="str">
        <x:v>North America</x:v>
      </x:c>
      <x:c r="F496" t="str">
        <x:v>Office Supplies</x:v>
      </x:c>
      <x:c r="G496" t="str">
        <x:v>Binders</x:v>
      </x:c>
      <x:c r="H496" t="str">
        <x:v>Consumer</x:v>
      </x:c>
      <x:c r="I496" t="n">
        <x:v>41</x:v>
      </x:c>
      <x:c r="J496" s="10" t="n">
        <x:v>3689.63</x:v>
      </x:c>
      <x:c r="K496" s="10" t="n">
        <x:v>3104.53</x:v>
      </x:c>
      <x:c r="L496" s="10" t="n">
        <x:v>585.1</x:v>
      </x:c>
      <x:c r="M496" s="12" t="n">
        <x:v>0.1585801113425038</x:v>
      </x:c>
    </x:row>
    <x:row r="497">
      <x:c r="A497" t="str">
        <x:v>ORD-10496</x:v>
      </x:c>
      <x:c r="B497" s="8" t="n">
        <x:v>46140</x:v>
      </x:c>
      <x:c r="C497" t="n">
        <x:v>2026</x:v>
      </x:c>
      <x:c r="D497" t="str">
        <x:v>Canada</x:v>
      </x:c>
      <x:c r="E497" t="str">
        <x:v>North America</x:v>
      </x:c>
      <x:c r="F497" t="str">
        <x:v>Technology</x:v>
      </x:c>
      <x:c r="G497" t="str">
        <x:v>Smartphone</x:v>
      </x:c>
      <x:c r="H497" t="str">
        <x:v>Home Office</x:v>
      </x:c>
      <x:c r="I497" t="n">
        <x:v>50</x:v>
      </x:c>
      <x:c r="J497" s="10" t="n">
        <x:v>19013.71</x:v>
      </x:c>
      <x:c r="K497" s="10" t="n">
        <x:v>12538.54</x:v>
      </x:c>
      <x:c r="L497" s="10" t="n">
        <x:v>6475.18</x:v>
      </x:c>
      <x:c r="M497" s="12" t="n">
        <x:v>0.3405529283566528</x:v>
      </x:c>
    </x:row>
    <x:row r="498">
      <x:c r="A498" t="str">
        <x:v>ORD-10497</x:v>
      </x:c>
      <x:c r="B498" s="8" t="n">
        <x:v>46161</x:v>
      </x:c>
      <x:c r="C498" t="n">
        <x:v>2026</x:v>
      </x:c>
      <x:c r="D498" t="str">
        <x:v>Canada</x:v>
      </x:c>
      <x:c r="E498" t="str">
        <x:v>North America</x:v>
      </x:c>
      <x:c r="F498" t="str">
        <x:v>Office Supplies</x:v>
      </x:c>
      <x:c r="G498" t="str">
        <x:v>Desk Organizer</x:v>
      </x:c>
      <x:c r="H498" t="str">
        <x:v>Home Office</x:v>
      </x:c>
      <x:c r="I498" t="n">
        <x:v>62</x:v>
      </x:c>
      <x:c r="J498" s="10" t="n">
        <x:v>5355.75</x:v>
      </x:c>
      <x:c r="K498" s="10" t="n">
        <x:v>4178.83</x:v>
      </x:c>
      <x:c r="L498" s="10" t="n">
        <x:v>1176.91</x:v>
      </x:c>
      <x:c r="M498" s="12" t="n">
        <x:v>0.21974792786082836</x:v>
      </x:c>
    </x:row>
    <x:row r="499">
      <x:c r="A499" t="str">
        <x:v>ORD-10498</x:v>
      </x:c>
      <x:c r="B499" s="8" t="n">
        <x:v>46175</x:v>
      </x:c>
      <x:c r="C499" t="n">
        <x:v>2026</x:v>
      </x:c>
      <x:c r="D499" t="str">
        <x:v>Canada</x:v>
      </x:c>
      <x:c r="E499" t="str">
        <x:v>North America</x:v>
      </x:c>
      <x:c r="F499" t="str">
        <x:v>Technology</x:v>
      </x:c>
      <x:c r="G499" t="str">
        <x:v>Smartphone</x:v>
      </x:c>
      <x:c r="H499" t="str">
        <x:v>Home Office</x:v>
      </x:c>
      <x:c r="I499" t="n">
        <x:v>119</x:v>
      </x:c>
      <x:c r="J499" s="10" t="n">
        <x:v>55405.62</x:v>
      </x:c>
      <x:c r="K499" s="10" t="n">
        <x:v>38727.01</x:v>
      </x:c>
      <x:c r="L499" s="10" t="n">
        <x:v>16678.62</x:v>
      </x:c>
      <x:c r="M499" s="12" t="n">
        <x:v>0.3010274916003532</x:v>
      </x:c>
    </x:row>
    <x:row r="500">
      <x:c r="A500" t="str">
        <x:v>ORD-10499</x:v>
      </x:c>
      <x:c r="B500" s="8" t="n">
        <x:v>46229</x:v>
      </x:c>
      <x:c r="C500" t="n">
        <x:v>2026</x:v>
      </x:c>
      <x:c r="D500" t="str">
        <x:v>Canada</x:v>
      </x:c>
      <x:c r="E500" t="str">
        <x:v>North America</x:v>
      </x:c>
      <x:c r="F500" t="str">
        <x:v>Furniture</x:v>
      </x:c>
      <x:c r="G500" t="str">
        <x:v>Desk</x:v>
      </x:c>
      <x:c r="H500" t="str">
        <x:v>Consumer</x:v>
      </x:c>
      <x:c r="I500" t="n">
        <x:v>52</x:v>
      </x:c>
      <x:c r="J500" s="10" t="n">
        <x:v>13772.14</x:v>
      </x:c>
      <x:c r="K500" s="10" t="n">
        <x:v>10910.28</x:v>
      </x:c>
      <x:c r="L500" s="10" t="n">
        <x:v>2861.87</x:v>
      </x:c>
      <x:c r="M500" s="12" t="n">
        <x:v>0.20780106984917107</x:v>
      </x:c>
    </x:row>
    <x:row r="501">
      <x:c r="A501" t="str">
        <x:v>ORD-10500</x:v>
      </x:c>
      <x:c r="B501" s="8" t="n">
        <x:v>46241</x:v>
      </x:c>
      <x:c r="C501" t="n">
        <x:v>2026</x:v>
      </x:c>
      <x:c r="D501" t="str">
        <x:v>Canada</x:v>
      </x:c>
      <x:c r="E501" t="str">
        <x:v>North America</x:v>
      </x:c>
      <x:c r="F501" t="str">
        <x:v>Furniture</x:v>
      </x:c>
      <x:c r="G501" t="str">
        <x:v>Bookshelf</x:v>
      </x:c>
      <x:c r="H501" t="str">
        <x:v>Corporate</x:v>
      </x:c>
      <x:c r="I501" t="n">
        <x:v>72</x:v>
      </x:c>
      <x:c r="J501" s="10" t="n">
        <x:v>19207.5</x:v>
      </x:c>
      <x:c r="K501" s="10" t="n">
        <x:v>15770.08</x:v>
      </x:c>
      <x:c r="L501" s="10" t="n">
        <x:v>3437.42</x:v>
      </x:c>
      <x:c r="M501" s="12" t="n">
        <x:v>0.17896249229629754</x:v>
      </x:c>
    </x:row>
    <x:row r="502">
      <x:c r="A502" t="str">
        <x:v>ORD-10501</x:v>
      </x:c>
      <x:c r="B502" s="8" t="n">
        <x:v>46279</x:v>
      </x:c>
      <x:c r="C502" t="n">
        <x:v>2026</x:v>
      </x:c>
      <x:c r="D502" t="str">
        <x:v>Canada</x:v>
      </x:c>
      <x:c r="E502" t="str">
        <x:v>North America</x:v>
      </x:c>
      <x:c r="F502" t="str">
        <x:v>Technology</x:v>
      </x:c>
      <x:c r="G502" t="str">
        <x:v>Laptop</x:v>
      </x:c>
      <x:c r="H502" t="str">
        <x:v>Consumer</x:v>
      </x:c>
      <x:c r="I502" t="n">
        <x:v>28</x:v>
      </x:c>
      <x:c r="J502" s="10" t="n">
        <x:v>11213.34</x:v>
      </x:c>
      <x:c r="K502" s="10" t="n">
        <x:v>8007.15</x:v>
      </x:c>
      <x:c r="L502" s="10" t="n">
        <x:v>3206.19</x:v>
      </x:c>
      <x:c r="M502" s="12" t="n">
        <x:v>0.2859266134923995</x:v>
      </x:c>
    </x:row>
    <x:row r="503">
      <x:c r="A503" t="str">
        <x:v>ORD-10502</x:v>
      </x:c>
      <x:c r="B503" s="8" t="n">
        <x:v>46299</x:v>
      </x:c>
      <x:c r="C503" t="n">
        <x:v>2026</x:v>
      </x:c>
      <x:c r="D503" t="str">
        <x:v>Canada</x:v>
      </x:c>
      <x:c r="E503" t="str">
        <x:v>North America</x:v>
      </x:c>
      <x:c r="F503" t="str">
        <x:v>Technology</x:v>
      </x:c>
      <x:c r="G503" t="str">
        <x:v>Monitor</x:v>
      </x:c>
      <x:c r="H503" t="str">
        <x:v>Consumer</x:v>
      </x:c>
      <x:c r="I503" t="n">
        <x:v>72</x:v>
      </x:c>
      <x:c r="J503" s="10" t="n">
        <x:v>31768.59</x:v>
      </x:c>
      <x:c r="K503" s="10" t="n">
        <x:v>23451.55</x:v>
      </x:c>
      <x:c r="L503" s="10" t="n">
        <x:v>8317.05</x:v>
      </x:c>
      <x:c r="M503" s="12" t="n">
        <x:v>0.261800951229765</x:v>
      </x:c>
    </x:row>
    <x:row r="504">
      <x:c r="A504" t="str">
        <x:v>ORD-10503</x:v>
      </x:c>
      <x:c r="B504" s="8" t="n">
        <x:v>46328</x:v>
      </x:c>
      <x:c r="C504" t="n">
        <x:v>2026</x:v>
      </x:c>
      <x:c r="D504" t="str">
        <x:v>Canada</x:v>
      </x:c>
      <x:c r="E504" t="str">
        <x:v>North America</x:v>
      </x:c>
      <x:c r="F504" t="str">
        <x:v>Technology</x:v>
      </x:c>
      <x:c r="G504" t="str">
        <x:v>Smartphone</x:v>
      </x:c>
      <x:c r="H504" t="str">
        <x:v>Home Office</x:v>
      </x:c>
      <x:c r="I504" t="n">
        <x:v>53</x:v>
      </x:c>
      <x:c r="J504" s="10" t="n">
        <x:v>31159.92</x:v>
      </x:c>
      <x:c r="K504" s="10" t="n">
        <x:v>21387.38</x:v>
      </x:c>
      <x:c r="L504" s="10" t="n">
        <x:v>9772.54</x:v>
      </x:c>
      <x:c r="M504" s="12" t="n">
        <x:v>0.3136253579884492</x:v>
      </x:c>
    </x:row>
    <x:row r="505">
      <x:c r="A505" t="str">
        <x:v>ORD-10504</x:v>
      </x:c>
      <x:c r="B505" s="8" t="n">
        <x:v>46369</x:v>
      </x:c>
      <x:c r="C505" t="n">
        <x:v>2026</x:v>
      </x:c>
      <x:c r="D505" t="str">
        <x:v>Canada</x:v>
      </x:c>
      <x:c r="E505" t="str">
        <x:v>North America</x:v>
      </x:c>
      <x:c r="F505" t="str">
        <x:v>Technology</x:v>
      </x:c>
      <x:c r="G505" t="str">
        <x:v>Monitor</x:v>
      </x:c>
      <x:c r="H505" t="str">
        <x:v>Consumer</x:v>
      </x:c>
      <x:c r="I505" t="n">
        <x:v>26</x:v>
      </x:c>
      <x:c r="J505" s="10" t="n">
        <x:v>14437.7</x:v>
      </x:c>
      <x:c r="K505" s="10" t="n">
        <x:v>9439.25</x:v>
      </x:c>
      <x:c r="L505" s="10" t="n">
        <x:v>4998.45</x:v>
      </x:c>
      <x:c r="M505" s="12" t="n">
        <x:v>0.3462080005011643</x:v>
      </x:c>
    </x:row>
    <x:row r="506">
      <x:c r="A506" t="str">
        <x:v>ORD-10505</x:v>
      </x:c>
      <x:c r="B506" s="8" t="n">
        <x:v>46023</x:v>
      </x:c>
      <x:c r="C506" t="n">
        <x:v>2026</x:v>
      </x:c>
      <x:c r="D506" t="str">
        <x:v>Mexico</x:v>
      </x:c>
      <x:c r="E506" t="str">
        <x:v>North America</x:v>
      </x:c>
      <x:c r="F506" t="str">
        <x:v>Office Supplies</x:v>
      </x:c>
      <x:c r="G506" t="str">
        <x:v>Printer Paper</x:v>
      </x:c>
      <x:c r="H506" t="str">
        <x:v>Home Office</x:v>
      </x:c>
      <x:c r="I506" t="n">
        <x:v>53</x:v>
      </x:c>
      <x:c r="J506" s="10" t="n">
        <x:v>3486.49</x:v>
      </x:c>
      <x:c r="K506" s="10" t="n">
        <x:v>2618.77</x:v>
      </x:c>
      <x:c r="L506" s="10" t="n">
        <x:v>867.72</x:v>
      </x:c>
      <x:c r="M506" s="12" t="n">
        <x:v>0.24888119444894888</x:v>
      </x:c>
    </x:row>
    <x:row r="507">
      <x:c r="A507" t="str">
        <x:v>ORD-10506</x:v>
      </x:c>
      <x:c r="B507" s="8" t="n">
        <x:v>46057</x:v>
      </x:c>
      <x:c r="C507" t="n">
        <x:v>2026</x:v>
      </x:c>
      <x:c r="D507" t="str">
        <x:v>Mexico</x:v>
      </x:c>
      <x:c r="E507" t="str">
        <x:v>North America</x:v>
      </x:c>
      <x:c r="F507" t="str">
        <x:v>Furniture</x:v>
      </x:c>
      <x:c r="G507" t="str">
        <x:v>Storage Cabinet</x:v>
      </x:c>
      <x:c r="H507" t="str">
        <x:v>Home Office</x:v>
      </x:c>
      <x:c r="I507" t="n">
        <x:v>110</x:v>
      </x:c>
      <x:c r="J507" s="10" t="n">
        <x:v>29901.59</x:v>
      </x:c>
      <x:c r="K507" s="10" t="n">
        <x:v>24478.43</x:v>
      </x:c>
      <x:c r="L507" s="10" t="n">
        <x:v>5423.16</x:v>
      </x:c>
      <x:c r="M507" s="12" t="n">
        <x:v>0.18136703323904568</x:v>
      </x:c>
    </x:row>
    <x:row r="508">
      <x:c r="A508" t="str">
        <x:v>ORD-10507</x:v>
      </x:c>
      <x:c r="B508" s="8" t="n">
        <x:v>46086</x:v>
      </x:c>
      <x:c r="C508" t="n">
        <x:v>2026</x:v>
      </x:c>
      <x:c r="D508" t="str">
        <x:v>Mexico</x:v>
      </x:c>
      <x:c r="E508" t="str">
        <x:v>North America</x:v>
      </x:c>
      <x:c r="F508" t="str">
        <x:v>Technology</x:v>
      </x:c>
      <x:c r="G508" t="str">
        <x:v>Laptop</x:v>
      </x:c>
      <x:c r="H508" t="str">
        <x:v>Consumer</x:v>
      </x:c>
      <x:c r="I508" t="n">
        <x:v>22</x:v>
      </x:c>
      <x:c r="J508" s="10" t="n">
        <x:v>11164.51</x:v>
      </x:c>
      <x:c r="K508" s="10" t="n">
        <x:v>7280.29</x:v>
      </x:c>
      <x:c r="L508" s="10" t="n">
        <x:v>3884.22</x:v>
      </x:c>
      <x:c r="M508" s="12" t="n">
        <x:v>0.3479080684980346</x:v>
      </x:c>
    </x:row>
    <x:row r="509">
      <x:c r="A509" t="str">
        <x:v>ORD-10508</x:v>
      </x:c>
      <x:c r="B509" s="8" t="n">
        <x:v>46131</x:v>
      </x:c>
      <x:c r="C509" t="n">
        <x:v>2026</x:v>
      </x:c>
      <x:c r="D509" t="str">
        <x:v>Mexico</x:v>
      </x:c>
      <x:c r="E509" t="str">
        <x:v>North America</x:v>
      </x:c>
      <x:c r="F509" t="str">
        <x:v>Technology</x:v>
      </x:c>
      <x:c r="G509" t="str">
        <x:v>Headphones</x:v>
      </x:c>
      <x:c r="H509" t="str">
        <x:v>Corporate</x:v>
      </x:c>
      <x:c r="I509" t="n">
        <x:v>102</x:v>
      </x:c>
      <x:c r="J509" s="10" t="n">
        <x:v>46784.57</x:v>
      </x:c>
      <x:c r="K509" s="10" t="n">
        <x:v>32404.76</x:v>
      </x:c>
      <x:c r="L509" s="10" t="n">
        <x:v>14379.81</x:v>
      </x:c>
      <x:c r="M509" s="12" t="n">
        <x:v>0.3073622018850202</x:v>
      </x:c>
    </x:row>
    <x:row r="510">
      <x:c r="A510" t="str">
        <x:v>ORD-10509</x:v>
      </x:c>
      <x:c r="B510" s="8" t="n">
        <x:v>46163</x:v>
      </x:c>
      <x:c r="C510" t="n">
        <x:v>2026</x:v>
      </x:c>
      <x:c r="D510" t="str">
        <x:v>Mexico</x:v>
      </x:c>
      <x:c r="E510" t="str">
        <x:v>North America</x:v>
      </x:c>
      <x:c r="F510" t="str">
        <x:v>Office Supplies</x:v>
      </x:c>
      <x:c r="G510" t="str">
        <x:v>Binders</x:v>
      </x:c>
      <x:c r="H510" t="str">
        <x:v>Consumer</x:v>
      </x:c>
      <x:c r="I510" t="n">
        <x:v>17</x:v>
      </x:c>
      <x:c r="J510" s="10" t="n">
        <x:v>1664.07</x:v>
      </x:c>
      <x:c r="K510" s="10" t="n">
        <x:v>1408.25</x:v>
      </x:c>
      <x:c r="L510" s="10" t="n">
        <x:v>255.82</x:v>
      </x:c>
      <x:c r="M510" s="12" t="n">
        <x:v>0.153730040403452</x:v>
      </x:c>
    </x:row>
    <x:row r="511">
      <x:c r="A511" t="str">
        <x:v>ORD-10510</x:v>
      </x:c>
      <x:c r="B511" s="8" t="n">
        <x:v>46188</x:v>
      </x:c>
      <x:c r="C511" t="n">
        <x:v>2026</x:v>
      </x:c>
      <x:c r="D511" t="str">
        <x:v>Mexico</x:v>
      </x:c>
      <x:c r="E511" t="str">
        <x:v>North America</x:v>
      </x:c>
      <x:c r="F511" t="str">
        <x:v>Furniture</x:v>
      </x:c>
      <x:c r="G511" t="str">
        <x:v>Desk</x:v>
      </x:c>
      <x:c r="H511" t="str">
        <x:v>Consumer</x:v>
      </x:c>
      <x:c r="I511" t="n">
        <x:v>118</x:v>
      </x:c>
      <x:c r="J511" s="10" t="n">
        <x:v>28181.55</x:v>
      </x:c>
      <x:c r="K511" s="10" t="n">
        <x:v>23246.3</x:v>
      </x:c>
      <x:c r="L511" s="10" t="n">
        <x:v>4935.25</x:v>
      </x:c>
      <x:c r="M511" s="12" t="n">
        <x:v>0.1751235582908517</x:v>
      </x:c>
    </x:row>
    <x:row r="512">
      <x:c r="A512" t="str">
        <x:v>ORD-10511</x:v>
      </x:c>
      <x:c r="B512" s="8" t="n">
        <x:v>46204</x:v>
      </x:c>
      <x:c r="C512" t="n">
        <x:v>2026</x:v>
      </x:c>
      <x:c r="D512" t="str">
        <x:v>Mexico</x:v>
      </x:c>
      <x:c r="E512" t="str">
        <x:v>North America</x:v>
      </x:c>
      <x:c r="F512" t="str">
        <x:v>Technology</x:v>
      </x:c>
      <x:c r="G512" t="str">
        <x:v>Smartphone</x:v>
      </x:c>
      <x:c r="H512" t="str">
        <x:v>Home Office</x:v>
      </x:c>
      <x:c r="I512" t="n">
        <x:v>70</x:v>
      </x:c>
      <x:c r="J512" s="10" t="n">
        <x:v>35375.11</x:v>
      </x:c>
      <x:c r="K512" s="10" t="n">
        <x:v>25562.06</x:v>
      </x:c>
      <x:c r="L512" s="10" t="n">
        <x:v>9813.05</x:v>
      </x:c>
      <x:c r="M512" s="12" t="n">
        <x:v>0.2773998425866303</x:v>
      </x:c>
    </x:row>
    <x:row r="513">
      <x:c r="A513" t="str">
        <x:v>ORD-10512</x:v>
      </x:c>
      <x:c r="B513" s="8" t="n">
        <x:v>46243</x:v>
      </x:c>
      <x:c r="C513" t="n">
        <x:v>2026</x:v>
      </x:c>
      <x:c r="D513" t="str">
        <x:v>Mexico</x:v>
      </x:c>
      <x:c r="E513" t="str">
        <x:v>North America</x:v>
      </x:c>
      <x:c r="F513" t="str">
        <x:v>Furniture</x:v>
      </x:c>
      <x:c r="G513" t="str">
        <x:v>Storage Cabinet</x:v>
      </x:c>
      <x:c r="H513" t="str">
        <x:v>Consumer</x:v>
      </x:c>
      <x:c r="I513" t="n">
        <x:v>60</x:v>
      </x:c>
      <x:c r="J513" s="10" t="n">
        <x:v>13271.03</x:v>
      </x:c>
      <x:c r="K513" s="10" t="n">
        <x:v>10716.91</x:v>
      </x:c>
      <x:c r="L513" s="10" t="n">
        <x:v>2554.12</x:v>
      </x:c>
      <x:c r="M513" s="12" t="n">
        <x:v>0.19245813364533948</x:v>
      </x:c>
    </x:row>
    <x:row r="514">
      <x:c r="A514" t="str">
        <x:v>ORD-10513</x:v>
      </x:c>
      <x:c r="B514" s="8" t="n">
        <x:v>46275</x:v>
      </x:c>
      <x:c r="C514" t="n">
        <x:v>2026</x:v>
      </x:c>
      <x:c r="D514" t="str">
        <x:v>Mexico</x:v>
      </x:c>
      <x:c r="E514" t="str">
        <x:v>North America</x:v>
      </x:c>
      <x:c r="F514" t="str">
        <x:v>Furniture</x:v>
      </x:c>
      <x:c r="G514" t="str">
        <x:v>Desk</x:v>
      </x:c>
      <x:c r="H514" t="str">
        <x:v>Consumer</x:v>
      </x:c>
      <x:c r="I514" t="n">
        <x:v>93</x:v>
      </x:c>
      <x:c r="J514" s="10" t="n">
        <x:v>26250.24</x:v>
      </x:c>
      <x:c r="K514" s="10" t="n">
        <x:v>21013.47</x:v>
      </x:c>
      <x:c r="L514" s="10" t="n">
        <x:v>5236.77</x:v>
      </x:c>
      <x:c r="M514" s="12" t="n">
        <x:v>0.1994941735094295</x:v>
      </x:c>
    </x:row>
    <x:row r="515">
      <x:c r="A515" t="str">
        <x:v>ORD-10514</x:v>
      </x:c>
      <x:c r="B515" s="8" t="n">
        <x:v>46300</x:v>
      </x:c>
      <x:c r="C515" t="n">
        <x:v>2026</x:v>
      </x:c>
      <x:c r="D515" t="str">
        <x:v>Mexico</x:v>
      </x:c>
      <x:c r="E515" t="str">
        <x:v>North America</x:v>
      </x:c>
      <x:c r="F515" t="str">
        <x:v>Furniture</x:v>
      </x:c>
      <x:c r="G515" t="str">
        <x:v>Storage Cabinet</x:v>
      </x:c>
      <x:c r="H515" t="str">
        <x:v>Home Office</x:v>
      </x:c>
      <x:c r="I515" t="n">
        <x:v>76</x:v>
      </x:c>
      <x:c r="J515" s="10" t="n">
        <x:v>15045.59</x:v>
      </x:c>
      <x:c r="K515" s="10" t="n">
        <x:v>11982.71</x:v>
      </x:c>
      <x:c r="L515" s="10" t="n">
        <x:v>3062.88</x:v>
      </x:c>
      <x:c r="M515" s="12" t="n">
        <x:v>0.2035731184926766</x:v>
      </x:c>
    </x:row>
    <x:row r="516">
      <x:c r="A516" t="str">
        <x:v>ORD-10515</x:v>
      </x:c>
      <x:c r="B516" s="8" t="n">
        <x:v>46352</x:v>
      </x:c>
      <x:c r="C516" t="n">
        <x:v>2026</x:v>
      </x:c>
      <x:c r="D516" t="str">
        <x:v>Mexico</x:v>
      </x:c>
      <x:c r="E516" t="str">
        <x:v>North America</x:v>
      </x:c>
      <x:c r="F516" t="str">
        <x:v>Furniture</x:v>
      </x:c>
      <x:c r="G516" t="str">
        <x:v>Desk</x:v>
      </x:c>
      <x:c r="H516" t="str">
        <x:v>Home Office</x:v>
      </x:c>
      <x:c r="I516" t="n">
        <x:v>117</x:v>
      </x:c>
      <x:c r="J516" s="10" t="n">
        <x:v>31374.97</x:v>
      </x:c>
      <x:c r="K516" s="10" t="n">
        <x:v>23666.44</x:v>
      </x:c>
      <x:c r="L516" s="10" t="n">
        <x:v>7708.53</x:v>
      </x:c>
      <x:c r="M516" s="12" t="n">
        <x:v>0.24569052665897062</x:v>
      </x:c>
    </x:row>
    <x:row r="517">
      <x:c r="A517" t="str">
        <x:v>ORD-10516</x:v>
      </x:c>
      <x:c r="B517" s="8" t="n">
        <x:v>46382</x:v>
      </x:c>
      <x:c r="C517" t="n">
        <x:v>2026</x:v>
      </x:c>
      <x:c r="D517" t="str">
        <x:v>Mexico</x:v>
      </x:c>
      <x:c r="E517" t="str">
        <x:v>North America</x:v>
      </x:c>
      <x:c r="F517" t="str">
        <x:v>Office Supplies</x:v>
      </x:c>
      <x:c r="G517" t="str">
        <x:v>Printer Paper</x:v>
      </x:c>
      <x:c r="H517" t="str">
        <x:v>Corporate</x:v>
      </x:c>
      <x:c r="I517" t="n">
        <x:v>115</x:v>
      </x:c>
      <x:c r="J517" s="10" t="n">
        <x:v>9835.31</x:v>
      </x:c>
      <x:c r="K517" s="10" t="n">
        <x:v>7990.58</x:v>
      </x:c>
      <x:c r="L517" s="10" t="n">
        <x:v>1844.73</x:v>
      </x:c>
      <x:c r="M517" s="12" t="n">
        <x:v>0.18756213266657396</x:v>
      </x:c>
    </x:row>
    <x:row r="518">
      <x:c r="A518" t="str">
        <x:v>ORD-10517</x:v>
      </x:c>
      <x:c r="B518" s="8" t="n">
        <x:v>46023</x:v>
      </x:c>
      <x:c r="C518" t="n">
        <x:v>2026</x:v>
      </x:c>
      <x:c r="D518" t="str">
        <x:v>Brazil</x:v>
      </x:c>
      <x:c r="E518" t="str">
        <x:v>South America</x:v>
      </x:c>
      <x:c r="F518" t="str">
        <x:v>Furniture</x:v>
      </x:c>
      <x:c r="G518" t="str">
        <x:v>Bookshelf</x:v>
      </x:c>
      <x:c r="H518" t="str">
        <x:v>Home Office</x:v>
      </x:c>
      <x:c r="I518" t="n">
        <x:v>79</x:v>
      </x:c>
      <x:c r="J518" s="10" t="n">
        <x:v>23081</x:v>
      </x:c>
      <x:c r="K518" s="10" t="n">
        <x:v>18408.2</x:v>
      </x:c>
      <x:c r="L518" s="10" t="n">
        <x:v>4672.8</x:v>
      </x:c>
      <x:c r="M518" s="12" t="n">
        <x:v>0.2024522821722768</x:v>
      </x:c>
    </x:row>
    <x:row r="519">
      <x:c r="A519" t="str">
        <x:v>ORD-10518</x:v>
      </x:c>
      <x:c r="B519" s="8" t="n">
        <x:v>46069</x:v>
      </x:c>
      <x:c r="C519" t="n">
        <x:v>2026</x:v>
      </x:c>
      <x:c r="D519" t="str">
        <x:v>Brazil</x:v>
      </x:c>
      <x:c r="E519" t="str">
        <x:v>South America</x:v>
      </x:c>
      <x:c r="F519" t="str">
        <x:v>Furniture</x:v>
      </x:c>
      <x:c r="G519" t="str">
        <x:v>Desk</x:v>
      </x:c>
      <x:c r="H519" t="str">
        <x:v>Consumer</x:v>
      </x:c>
      <x:c r="I519" t="n">
        <x:v>118</x:v>
      </x:c>
      <x:c r="J519" s="10" t="n">
        <x:v>44498.92</x:v>
      </x:c>
      <x:c r="K519" s="10" t="n">
        <x:v>36621.23</x:v>
      </x:c>
      <x:c r="L519" s="10" t="n">
        <x:v>7877.69</x:v>
      </x:c>
      <x:c r="M519" s="12" t="n">
        <x:v>0.17703094763337415</x:v>
      </x:c>
    </x:row>
    <x:row r="520">
      <x:c r="A520" t="str">
        <x:v>ORD-10519</x:v>
      </x:c>
      <x:c r="B520" s="8" t="n">
        <x:v>46103</x:v>
      </x:c>
      <x:c r="C520" t="n">
        <x:v>2026</x:v>
      </x:c>
      <x:c r="D520" t="str">
        <x:v>Brazil</x:v>
      </x:c>
      <x:c r="E520" t="str">
        <x:v>South America</x:v>
      </x:c>
      <x:c r="F520" t="str">
        <x:v>Office Supplies</x:v>
      </x:c>
      <x:c r="G520" t="str">
        <x:v>Binders</x:v>
      </x:c>
      <x:c r="H520" t="str">
        <x:v>Home Office</x:v>
      </x:c>
      <x:c r="I520" t="n">
        <x:v>44</x:v>
      </x:c>
      <x:c r="J520" s="10" t="n">
        <x:v>5247.54</x:v>
      </x:c>
      <x:c r="K520" s="10" t="n">
        <x:v>4502.3</x:v>
      </x:c>
      <x:c r="L520" s="10" t="n">
        <x:v>745.24</x:v>
      </x:c>
      <x:c r="M520" s="12" t="n">
        <x:v>0.14201612047659481</x:v>
      </x:c>
    </x:row>
    <x:row r="521">
      <x:c r="A521" t="str">
        <x:v>ORD-10520</x:v>
      </x:c>
      <x:c r="B521" s="8" t="n">
        <x:v>46137</x:v>
      </x:c>
      <x:c r="C521" t="n">
        <x:v>2026</x:v>
      </x:c>
      <x:c r="D521" t="str">
        <x:v>Brazil</x:v>
      </x:c>
      <x:c r="E521" t="str">
        <x:v>South America</x:v>
      </x:c>
      <x:c r="F521" t="str">
        <x:v>Technology</x:v>
      </x:c>
      <x:c r="G521" t="str">
        <x:v>Monitor</x:v>
      </x:c>
      <x:c r="H521" t="str">
        <x:v>Home Office</x:v>
      </x:c>
      <x:c r="I521" t="n">
        <x:v>119</x:v>
      </x:c>
      <x:c r="J521" s="10" t="n">
        <x:v>72945.86</x:v>
      </x:c>
      <x:c r="K521" s="10" t="n">
        <x:v>49716.45</x:v>
      </x:c>
      <x:c r="L521" s="10" t="n">
        <x:v>23229.41</x:v>
      </x:c>
      <x:c r="M521" s="12" t="n">
        <x:v>0.31844721650115426</x:v>
      </x:c>
    </x:row>
    <x:row r="522">
      <x:c r="A522" t="str">
        <x:v>ORD-10521</x:v>
      </x:c>
      <x:c r="B522" s="8" t="n">
        <x:v>46168</x:v>
      </x:c>
      <x:c r="C522" t="n">
        <x:v>2026</x:v>
      </x:c>
      <x:c r="D522" t="str">
        <x:v>Brazil</x:v>
      </x:c>
      <x:c r="E522" t="str">
        <x:v>South America</x:v>
      </x:c>
      <x:c r="F522" t="str">
        <x:v>Technology</x:v>
      </x:c>
      <x:c r="G522" t="str">
        <x:v>Headphones</x:v>
      </x:c>
      <x:c r="H522" t="str">
        <x:v>Corporate</x:v>
      </x:c>
      <x:c r="I522" t="n">
        <x:v>37</x:v>
      </x:c>
      <x:c r="J522" s="10" t="n">
        <x:v>15845.72</x:v>
      </x:c>
      <x:c r="K522" s="10" t="n">
        <x:v>11074.54</x:v>
      </x:c>
      <x:c r="L522" s="10" t="n">
        <x:v>4771.18</x:v>
      </x:c>
      <x:c r="M522" s="12" t="n">
        <x:v>0.3011023411017695</x:v>
      </x:c>
    </x:row>
    <x:row r="523">
      <x:c r="A523" t="str">
        <x:v>ORD-10522</x:v>
      </x:c>
      <x:c r="B523" s="8" t="n">
        <x:v>46192</x:v>
      </x:c>
      <x:c r="C523" t="n">
        <x:v>2026</x:v>
      </x:c>
      <x:c r="D523" t="str">
        <x:v>Brazil</x:v>
      </x:c>
      <x:c r="E523" t="str">
        <x:v>South America</x:v>
      </x:c>
      <x:c r="F523" t="str">
        <x:v>Office Supplies</x:v>
      </x:c>
      <x:c r="G523" t="str">
        <x:v>Binders</x:v>
      </x:c>
      <x:c r="H523" t="str">
        <x:v>Home Office</x:v>
      </x:c>
      <x:c r="I523" t="n">
        <x:v>18</x:v>
      </x:c>
      <x:c r="J523" s="10" t="n">
        <x:v>1885.59</x:v>
      </x:c>
      <x:c r="K523" s="10" t="n">
        <x:v>1560.89</x:v>
      </x:c>
      <x:c r="L523" s="10" t="n">
        <x:v>324.7</x:v>
      </x:c>
      <x:c r="M523" s="12" t="n">
        <x:v>0.1722018578179706</x:v>
      </x:c>
    </x:row>
    <x:row r="524">
      <x:c r="A524" t="str">
        <x:v>ORD-10523</x:v>
      </x:c>
      <x:c r="B524" s="8" t="n">
        <x:v>46219</x:v>
      </x:c>
      <x:c r="C524" t="n">
        <x:v>2026</x:v>
      </x:c>
      <x:c r="D524" t="str">
        <x:v>Brazil</x:v>
      </x:c>
      <x:c r="E524" t="str">
        <x:v>South America</x:v>
      </x:c>
      <x:c r="F524" t="str">
        <x:v>Office Supplies</x:v>
      </x:c>
      <x:c r="G524" t="str">
        <x:v>Pens</x:v>
      </x:c>
      <x:c r="H524" t="str">
        <x:v>Home Office</x:v>
      </x:c>
      <x:c r="I524" t="n">
        <x:v>39</x:v>
      </x:c>
      <x:c r="J524" s="10" t="n">
        <x:v>4364.11</x:v>
      </x:c>
      <x:c r="K524" s="10" t="n">
        <x:v>3372.38</x:v>
      </x:c>
      <x:c r="L524" s="10" t="n">
        <x:v>991.74</x:v>
      </x:c>
      <x:c r="M524" s="12" t="n">
        <x:v>0.22724813957359769</x:v>
      </x:c>
    </x:row>
    <x:row r="525">
      <x:c r="A525" t="str">
        <x:v>ORD-10524</x:v>
      </x:c>
      <x:c r="B525" s="8" t="n">
        <x:v>46254</x:v>
      </x:c>
      <x:c r="C525" t="n">
        <x:v>2026</x:v>
      </x:c>
      <x:c r="D525" t="str">
        <x:v>Brazil</x:v>
      </x:c>
      <x:c r="E525" t="str">
        <x:v>South America</x:v>
      </x:c>
      <x:c r="F525" t="str">
        <x:v>Office Supplies</x:v>
      </x:c>
      <x:c r="G525" t="str">
        <x:v>Binders</x:v>
      </x:c>
      <x:c r="H525" t="str">
        <x:v>Consumer</x:v>
      </x:c>
      <x:c r="I525" t="n">
        <x:v>77</x:v>
      </x:c>
      <x:c r="J525" s="10" t="n">
        <x:v>5318.22</x:v>
      </x:c>
      <x:c r="K525" s="10" t="n">
        <x:v>4591.01</x:v>
      </x:c>
      <x:c r="L525" s="10" t="n">
        <x:v>727.21</x:v>
      </x:c>
      <x:c r="M525" s="12" t="n">
        <x:v>0.13674015721615262</x:v>
      </x:c>
    </x:row>
    <x:row r="526">
      <x:c r="A526" t="str">
        <x:v>ORD-10525</x:v>
      </x:c>
      <x:c r="B526" s="8" t="n">
        <x:v>46272</x:v>
      </x:c>
      <x:c r="C526" t="n">
        <x:v>2026</x:v>
      </x:c>
      <x:c r="D526" t="str">
        <x:v>Brazil</x:v>
      </x:c>
      <x:c r="E526" t="str">
        <x:v>South America</x:v>
      </x:c>
      <x:c r="F526" t="str">
        <x:v>Technology</x:v>
      </x:c>
      <x:c r="G526" t="str">
        <x:v>Laptop</x:v>
      </x:c>
      <x:c r="H526" t="str">
        <x:v>Home Office</x:v>
      </x:c>
      <x:c r="I526" t="n">
        <x:v>76</x:v>
      </x:c>
      <x:c r="J526" s="10" t="n">
        <x:v>28544.42</x:v>
      </x:c>
      <x:c r="K526" s="10" t="n">
        <x:v>18835.1</x:v>
      </x:c>
      <x:c r="L526" s="10" t="n">
        <x:v>9709.31</x:v>
      </x:c>
      <x:c r="M526" s="12" t="n">
        <x:v>0.34014754231047767</x:v>
      </x:c>
    </x:row>
    <x:row r="527">
      <x:c r="A527" t="str">
        <x:v>ORD-10526</x:v>
      </x:c>
      <x:c r="B527" s="8" t="n">
        <x:v>46306</x:v>
      </x:c>
      <x:c r="C527" t="n">
        <x:v>2026</x:v>
      </x:c>
      <x:c r="D527" t="str">
        <x:v>Brazil</x:v>
      </x:c>
      <x:c r="E527" t="str">
        <x:v>South America</x:v>
      </x:c>
      <x:c r="F527" t="str">
        <x:v>Technology</x:v>
      </x:c>
      <x:c r="G527" t="str">
        <x:v>Monitor</x:v>
      </x:c>
      <x:c r="H527" t="str">
        <x:v>Home Office</x:v>
      </x:c>
      <x:c r="I527" t="n">
        <x:v>37</x:v>
      </x:c>
      <x:c r="J527" s="10" t="n">
        <x:v>24097.81</x:v>
      </x:c>
      <x:c r="K527" s="10" t="n">
        <x:v>16113.87</x:v>
      </x:c>
      <x:c r="L527" s="10" t="n">
        <x:v>7983.94</x:v>
      </x:c>
      <x:c r="M527" s="12" t="n">
        <x:v>0.331314090372518</x:v>
      </x:c>
    </x:row>
    <x:row r="528">
      <x:c r="A528" t="str">
        <x:v>ORD-10527</x:v>
      </x:c>
      <x:c r="B528" s="8" t="n">
        <x:v>46330</x:v>
      </x:c>
      <x:c r="C528" t="n">
        <x:v>2026</x:v>
      </x:c>
      <x:c r="D528" t="str">
        <x:v>Brazil</x:v>
      </x:c>
      <x:c r="E528" t="str">
        <x:v>South America</x:v>
      </x:c>
      <x:c r="F528" t="str">
        <x:v>Technology</x:v>
      </x:c>
      <x:c r="G528" t="str">
        <x:v>Laptop</x:v>
      </x:c>
      <x:c r="H528" t="str">
        <x:v>Consumer</x:v>
      </x:c>
      <x:c r="I528" t="n">
        <x:v>90</x:v>
      </x:c>
      <x:c r="J528" s="10" t="n">
        <x:v>52830.17</x:v>
      </x:c>
      <x:c r="K528" s="10" t="n">
        <x:v>39781.21</x:v>
      </x:c>
      <x:c r="L528" s="10" t="n">
        <x:v>13048.96</x:v>
      </x:c>
      <x:c r="M528" s="12" t="n">
        <x:v>0.24699831972214575</x:v>
      </x:c>
    </x:row>
    <x:row r="529">
      <x:c r="A529" t="str">
        <x:v>ORD-10528</x:v>
      </x:c>
      <x:c r="B529" s="8" t="n">
        <x:v>46375</x:v>
      </x:c>
      <x:c r="C529" t="n">
        <x:v>2026</x:v>
      </x:c>
      <x:c r="D529" t="str">
        <x:v>Brazil</x:v>
      </x:c>
      <x:c r="E529" t="str">
        <x:v>South America</x:v>
      </x:c>
      <x:c r="F529" t="str">
        <x:v>Office Supplies</x:v>
      </x:c>
      <x:c r="G529" t="str">
        <x:v>Binders</x:v>
      </x:c>
      <x:c r="H529" t="str">
        <x:v>Consumer</x:v>
      </x:c>
      <x:c r="I529" t="n">
        <x:v>62</x:v>
      </x:c>
      <x:c r="J529" s="10" t="n">
        <x:v>6498.42</x:v>
      </x:c>
      <x:c r="K529" s="10" t="n">
        <x:v>5137.28</x:v>
      </x:c>
      <x:c r="L529" s="10" t="n">
        <x:v>1361.14</x:v>
      </x:c>
      <x:c r="M529" s="12" t="n">
        <x:v>0.20945674633586003</x:v>
      </x:c>
    </x:row>
    <x:row r="530">
      <x:c r="A530" t="str">
        <x:v>ORD-10529</x:v>
      </x:c>
      <x:c r="B530" s="8" t="n">
        <x:v>46036</x:v>
      </x:c>
      <x:c r="C530" t="n">
        <x:v>2026</x:v>
      </x:c>
      <x:c r="D530" t="str">
        <x:v>Argentina</x:v>
      </x:c>
      <x:c r="E530" t="str">
        <x:v>South America</x:v>
      </x:c>
      <x:c r="F530" t="str">
        <x:v>Technology</x:v>
      </x:c>
      <x:c r="G530" t="str">
        <x:v>Monitor</x:v>
      </x:c>
      <x:c r="H530" t="str">
        <x:v>Corporate</x:v>
      </x:c>
      <x:c r="I530" t="n">
        <x:v>56</x:v>
      </x:c>
      <x:c r="J530" s="10" t="n">
        <x:v>10241.62</x:v>
      </x:c>
      <x:c r="K530" s="10" t="n">
        <x:v>8102.14</x:v>
      </x:c>
      <x:c r="L530" s="10" t="n">
        <x:v>2139.48</x:v>
      </x:c>
      <x:c r="M530" s="12" t="n">
        <x:v>0.20890046632202156</x:v>
      </x:c>
    </x:row>
    <x:row r="531">
      <x:c r="A531" t="str">
        <x:v>ORD-10530</x:v>
      </x:c>
      <x:c r="B531" s="8" t="n">
        <x:v>46076</x:v>
      </x:c>
      <x:c r="C531" t="n">
        <x:v>2026</x:v>
      </x:c>
      <x:c r="D531" t="str">
        <x:v>Argentina</x:v>
      </x:c>
      <x:c r="E531" t="str">
        <x:v>South America</x:v>
      </x:c>
      <x:c r="F531" t="str">
        <x:v>Office Supplies</x:v>
      </x:c>
      <x:c r="G531" t="str">
        <x:v>Desk Organizer</x:v>
      </x:c>
      <x:c r="H531" t="str">
        <x:v>Home Office</x:v>
      </x:c>
      <x:c r="I531" t="n">
        <x:v>55</x:v>
      </x:c>
      <x:c r="J531" s="10" t="n">
        <x:v>1845.11</x:v>
      </x:c>
      <x:c r="K531" s="10" t="n">
        <x:v>1464.56</x:v>
      </x:c>
      <x:c r="L531" s="10" t="n">
        <x:v>380.55</x:v>
      </x:c>
      <x:c r="M531" s="12" t="n">
        <x:v>0.20624914755998008</x:v>
      </x:c>
    </x:row>
    <x:row r="532">
      <x:c r="A532" t="str">
        <x:v>ORD-10531</x:v>
      </x:c>
      <x:c r="B532" s="8" t="n">
        <x:v>46091</x:v>
      </x:c>
      <x:c r="C532" t="n">
        <x:v>2026</x:v>
      </x:c>
      <x:c r="D532" t="str">
        <x:v>Argentina</x:v>
      </x:c>
      <x:c r="E532" t="str">
        <x:v>South America</x:v>
      </x:c>
      <x:c r="F532" t="str">
        <x:v>Office Supplies</x:v>
      </x:c>
      <x:c r="G532" t="str">
        <x:v>Binders</x:v>
      </x:c>
      <x:c r="H532" t="str">
        <x:v>Consumer</x:v>
      </x:c>
      <x:c r="I532" t="n">
        <x:v>100</x:v>
      </x:c>
      <x:c r="J532" s="10" t="n">
        <x:v>4331.69</x:v>
      </x:c>
      <x:c r="K532" s="10" t="n">
        <x:v>3850.69</x:v>
      </x:c>
      <x:c r="L532" s="10" t="n">
        <x:v>481</x:v>
      </x:c>
      <x:c r="M532" s="12" t="n">
        <x:v>0.11104219559882655</x:v>
      </x:c>
    </x:row>
    <x:row r="533">
      <x:c r="A533" t="str">
        <x:v>ORD-10532</x:v>
      </x:c>
      <x:c r="B533" s="8" t="n">
        <x:v>46131</x:v>
      </x:c>
      <x:c r="C533" t="n">
        <x:v>2026</x:v>
      </x:c>
      <x:c r="D533" t="str">
        <x:v>Argentina</x:v>
      </x:c>
      <x:c r="E533" t="str">
        <x:v>South America</x:v>
      </x:c>
      <x:c r="F533" t="str">
        <x:v>Office Supplies</x:v>
      </x:c>
      <x:c r="G533" t="str">
        <x:v>Binders</x:v>
      </x:c>
      <x:c r="H533" t="str">
        <x:v>Consumer</x:v>
      </x:c>
      <x:c r="I533" t="n">
        <x:v>37</x:v>
      </x:c>
      <x:c r="J533" s="10" t="n">
        <x:v>1724.64</x:v>
      </x:c>
      <x:c r="K533" s="10" t="n">
        <x:v>1373.06</x:v>
      </x:c>
      <x:c r="L533" s="10" t="n">
        <x:v>351.58</x:v>
      </x:c>
      <x:c r="M533" s="12" t="n">
        <x:v>0.20385457250655448</x:v>
      </x:c>
    </x:row>
    <x:row r="534">
      <x:c r="A534" t="str">
        <x:v>ORD-10533</x:v>
      </x:c>
      <x:c r="B534" s="8" t="n">
        <x:v>46162</x:v>
      </x:c>
      <x:c r="C534" t="n">
        <x:v>2026</x:v>
      </x:c>
      <x:c r="D534" t="str">
        <x:v>Argentina</x:v>
      </x:c>
      <x:c r="E534" t="str">
        <x:v>South America</x:v>
      </x:c>
      <x:c r="F534" t="str">
        <x:v>Furniture</x:v>
      </x:c>
      <x:c r="G534" t="str">
        <x:v>Office Chair</x:v>
      </x:c>
      <x:c r="H534" t="str">
        <x:v>Consumer</x:v>
      </x:c>
      <x:c r="I534" t="n">
        <x:v>92</x:v>
      </x:c>
      <x:c r="J534" s="10" t="n">
        <x:v>11781.31</x:v>
      </x:c>
      <x:c r="K534" s="10" t="n">
        <x:v>9106.29</x:v>
      </x:c>
      <x:c r="L534" s="10" t="n">
        <x:v>2675.03</x:v>
      </x:c>
      <x:c r="M534" s="12" t="n">
        <x:v>0.2270568310924158</x:v>
      </x:c>
    </x:row>
    <x:row r="535">
      <x:c r="A535" t="str">
        <x:v>ORD-10534</x:v>
      </x:c>
      <x:c r="B535" s="8" t="n">
        <x:v>46185</x:v>
      </x:c>
      <x:c r="C535" t="n">
        <x:v>2026</x:v>
      </x:c>
      <x:c r="D535" t="str">
        <x:v>Argentina</x:v>
      </x:c>
      <x:c r="E535" t="str">
        <x:v>South America</x:v>
      </x:c>
      <x:c r="F535" t="str">
        <x:v>Technology</x:v>
      </x:c>
      <x:c r="G535" t="str">
        <x:v>Laptop</x:v>
      </x:c>
      <x:c r="H535" t="str">
        <x:v>Corporate</x:v>
      </x:c>
      <x:c r="I535" t="n">
        <x:v>33</x:v>
      </x:c>
      <x:c r="J535" s="10" t="n">
        <x:v>6882.84</x:v>
      </x:c>
      <x:c r="K535" s="10" t="n">
        <x:v>5510.84</x:v>
      </x:c>
      <x:c r="L535" s="10" t="n">
        <x:v>1372</x:v>
      </x:c>
      <x:c r="M535" s="12" t="n">
        <x:v>0.19933679661571616</x:v>
      </x:c>
    </x:row>
    <x:row r="536">
      <x:c r="A536" t="str">
        <x:v>ORD-10535</x:v>
      </x:c>
      <x:c r="B536" s="8" t="n">
        <x:v>46227</x:v>
      </x:c>
      <x:c r="C536" t="n">
        <x:v>2026</x:v>
      </x:c>
      <x:c r="D536" t="str">
        <x:v>Argentina</x:v>
      </x:c>
      <x:c r="E536" t="str">
        <x:v>South America</x:v>
      </x:c>
      <x:c r="F536" t="str">
        <x:v>Furniture</x:v>
      </x:c>
      <x:c r="G536" t="str">
        <x:v>Desk</x:v>
      </x:c>
      <x:c r="H536" t="str">
        <x:v>Home Office</x:v>
      </x:c>
      <x:c r="I536" t="n">
        <x:v>26</x:v>
      </x:c>
      <x:c r="J536" s="10" t="n">
        <x:v>4398.37</x:v>
      </x:c>
      <x:c r="K536" s="10" t="n">
        <x:v>3472.94</x:v>
      </x:c>
      <x:c r="L536" s="10" t="n">
        <x:v>925.43</x:v>
      </x:c>
      <x:c r="M536" s="12" t="n">
        <x:v>0.21040294853368646</x:v>
      </x:c>
    </x:row>
    <x:row r="537">
      <x:c r="A537" t="str">
        <x:v>ORD-10536</x:v>
      </x:c>
      <x:c r="B537" s="8" t="n">
        <x:v>46246</x:v>
      </x:c>
      <x:c r="C537" t="n">
        <x:v>2026</x:v>
      </x:c>
      <x:c r="D537" t="str">
        <x:v>Argentina</x:v>
      </x:c>
      <x:c r="E537" t="str">
        <x:v>South America</x:v>
      </x:c>
      <x:c r="F537" t="str">
        <x:v>Furniture</x:v>
      </x:c>
      <x:c r="G537" t="str">
        <x:v>Storage Cabinet</x:v>
      </x:c>
      <x:c r="H537" t="str">
        <x:v>Consumer</x:v>
      </x:c>
      <x:c r="I537" t="n">
        <x:v>48</x:v>
      </x:c>
      <x:c r="J537" s="10" t="n">
        <x:v>5721.37</x:v>
      </x:c>
      <x:c r="K537" s="10" t="n">
        <x:v>4501.68</x:v>
      </x:c>
      <x:c r="L537" s="10" t="n">
        <x:v>1219.69</x:v>
      </x:c>
      <x:c r="M537" s="12" t="n">
        <x:v>0.21318112915855178</x:v>
      </x:c>
    </x:row>
    <x:row r="538">
      <x:c r="A538" t="str">
        <x:v>ORD-10537</x:v>
      </x:c>
      <x:c r="B538" s="8" t="n">
        <x:v>46279</x:v>
      </x:c>
      <x:c r="C538" t="n">
        <x:v>2026</x:v>
      </x:c>
      <x:c r="D538" t="str">
        <x:v>Argentina</x:v>
      </x:c>
      <x:c r="E538" t="str">
        <x:v>South America</x:v>
      </x:c>
      <x:c r="F538" t="str">
        <x:v>Furniture</x:v>
      </x:c>
      <x:c r="G538" t="str">
        <x:v>Office Chair</x:v>
      </x:c>
      <x:c r="H538" t="str">
        <x:v>Home Office</x:v>
      </x:c>
      <x:c r="I538" t="n">
        <x:v>15</x:v>
      </x:c>
      <x:c r="J538" s="10" t="n">
        <x:v>1590.07</x:v>
      </x:c>
      <x:c r="K538" s="10" t="n">
        <x:v>1299.74</x:v>
      </x:c>
      <x:c r="L538" s="10" t="n">
        <x:v>290.32</x:v>
      </x:c>
      <x:c r="M538" s="12" t="n">
        <x:v>0.18258641695909306</x:v>
      </x:c>
    </x:row>
    <x:row r="539">
      <x:c r="A539" t="str">
        <x:v>ORD-10538</x:v>
      </x:c>
      <x:c r="B539" s="8" t="n">
        <x:v>46322</x:v>
      </x:c>
      <x:c r="C539" t="n">
        <x:v>2026</x:v>
      </x:c>
      <x:c r="D539" t="str">
        <x:v>Argentina</x:v>
      </x:c>
      <x:c r="E539" t="str">
        <x:v>South America</x:v>
      </x:c>
      <x:c r="F539" t="str">
        <x:v>Technology</x:v>
      </x:c>
      <x:c r="G539" t="str">
        <x:v>Headphones</x:v>
      </x:c>
      <x:c r="H539" t="str">
        <x:v>Corporate</x:v>
      </x:c>
      <x:c r="I539" t="n">
        <x:v>63</x:v>
      </x:c>
      <x:c r="J539" s="10" t="n">
        <x:v>13306.7</x:v>
      </x:c>
      <x:c r="K539" s="10" t="n">
        <x:v>10179.07</x:v>
      </x:c>
      <x:c r="L539" s="10" t="n">
        <x:v>3127.63</x:v>
      </x:c>
      <x:c r="M539" s="12" t="n">
        <x:v>0.23504170844086575</x:v>
      </x:c>
    </x:row>
    <x:row r="540">
      <x:c r="A540" t="str">
        <x:v>ORD-10539</x:v>
      </x:c>
      <x:c r="B540" s="8" t="n">
        <x:v>46336</x:v>
      </x:c>
      <x:c r="C540" t="n">
        <x:v>2026</x:v>
      </x:c>
      <x:c r="D540" t="str">
        <x:v>Argentina</x:v>
      </x:c>
      <x:c r="E540" t="str">
        <x:v>South America</x:v>
      </x:c>
      <x:c r="F540" t="str">
        <x:v>Furniture</x:v>
      </x:c>
      <x:c r="G540" t="str">
        <x:v>Desk</x:v>
      </x:c>
      <x:c r="H540" t="str">
        <x:v>Consumer</x:v>
      </x:c>
      <x:c r="I540" t="n">
        <x:v>72</x:v>
      </x:c>
      <x:c r="J540" s="10" t="n">
        <x:v>7782.6</x:v>
      </x:c>
      <x:c r="K540" s="10" t="n">
        <x:v>5981</x:v>
      </x:c>
      <x:c r="L540" s="10" t="n">
        <x:v>1801.61</x:v>
      </x:c>
      <x:c r="M540" s="12" t="n">
        <x:v>0.23149149808294728</x:v>
      </x:c>
    </x:row>
    <x:row r="541">
      <x:c r="A541" t="str">
        <x:v>ORD-10540</x:v>
      </x:c>
      <x:c r="B541" s="8" t="n">
        <x:v>46369</x:v>
      </x:c>
      <x:c r="C541" t="n">
        <x:v>2026</x:v>
      </x:c>
      <x:c r="D541" t="str">
        <x:v>Argentina</x:v>
      </x:c>
      <x:c r="E541" t="str">
        <x:v>South America</x:v>
      </x:c>
      <x:c r="F541" t="str">
        <x:v>Technology</x:v>
      </x:c>
      <x:c r="G541" t="str">
        <x:v>Monitor</x:v>
      </x:c>
      <x:c r="H541" t="str">
        <x:v>Corporate</x:v>
      </x:c>
      <x:c r="I541" t="n">
        <x:v>28</x:v>
      </x:c>
      <x:c r="J541" s="10" t="n">
        <x:v>4890.89</x:v>
      </x:c>
      <x:c r="K541" s="10" t="n">
        <x:v>3861.78</x:v>
      </x:c>
      <x:c r="L541" s="10" t="n">
        <x:v>1029.1</x:v>
      </x:c>
      <x:c r="M541" s="12" t="n">
        <x:v>0.2104126243781429</x:v>
      </x:c>
    </x:row>
    <x:row r="542">
      <x:c r="A542" t="str">
        <x:v>ORD-10541</x:v>
      </x:c>
      <x:c r="B542" s="8" t="n">
        <x:v>46038</x:v>
      </x:c>
      <x:c r="C542" t="n">
        <x:v>2026</x:v>
      </x:c>
      <x:c r="D542" t="str">
        <x:v>United Kingdom</x:v>
      </x:c>
      <x:c r="E542" t="str">
        <x:v>Europe</x:v>
      </x:c>
      <x:c r="F542" t="str">
        <x:v>Technology</x:v>
      </x:c>
      <x:c r="G542" t="str">
        <x:v>Laptop</x:v>
      </x:c>
      <x:c r="H542" t="str">
        <x:v>Home Office</x:v>
      </x:c>
      <x:c r="I542" t="n">
        <x:v>26</x:v>
      </x:c>
      <x:c r="J542" s="10" t="n">
        <x:v>13503.89</x:v>
      </x:c>
      <x:c r="K542" s="10" t="n">
        <x:v>8801.39</x:v>
      </x:c>
      <x:c r="L542" s="10" t="n">
        <x:v>4702.5</x:v>
      </x:c>
      <x:c r="M542" s="12" t="n">
        <x:v>0.3482331320169372</x:v>
      </x:c>
    </x:row>
    <x:row r="543">
      <x:c r="A543" t="str">
        <x:v>ORD-10542</x:v>
      </x:c>
      <x:c r="B543" s="8" t="n">
        <x:v>46059</x:v>
      </x:c>
      <x:c r="C543" t="n">
        <x:v>2026</x:v>
      </x:c>
      <x:c r="D543" t="str">
        <x:v>United Kingdom</x:v>
      </x:c>
      <x:c r="E543" t="str">
        <x:v>Europe</x:v>
      </x:c>
      <x:c r="F543" t="str">
        <x:v>Office Supplies</x:v>
      </x:c>
      <x:c r="G543" t="str">
        <x:v>Printer Paper</x:v>
      </x:c>
      <x:c r="H543" t="str">
        <x:v>Corporate</x:v>
      </x:c>
      <x:c r="I543" t="n">
        <x:v>98</x:v>
      </x:c>
      <x:c r="J543" s="10" t="n">
        <x:v>8099.2</x:v>
      </x:c>
      <x:c r="K543" s="10" t="n">
        <x:v>6181.55</x:v>
      </x:c>
      <x:c r="L543" s="10" t="n">
        <x:v>1917.65</x:v>
      </x:c>
      <x:c r="M543" s="12" t="n">
        <x:v>0.23677039244848522</x:v>
      </x:c>
    </x:row>
    <x:row r="544">
      <x:c r="A544" t="str">
        <x:v>ORD-10543</x:v>
      </x:c>
      <x:c r="B544" s="8" t="n">
        <x:v>46099</x:v>
      </x:c>
      <x:c r="C544" t="n">
        <x:v>2026</x:v>
      </x:c>
      <x:c r="D544" t="str">
        <x:v>United Kingdom</x:v>
      </x:c>
      <x:c r="E544" t="str">
        <x:v>Europe</x:v>
      </x:c>
      <x:c r="F544" t="str">
        <x:v>Technology</x:v>
      </x:c>
      <x:c r="G544" t="str">
        <x:v>Laptop</x:v>
      </x:c>
      <x:c r="H544" t="str">
        <x:v>Corporate</x:v>
      </x:c>
      <x:c r="I544" t="n">
        <x:v>41</x:v>
      </x:c>
      <x:c r="J544" s="10" t="n">
        <x:v>29829.43</x:v>
      </x:c>
      <x:c r="K544" s="10" t="n">
        <x:v>21503.63</x:v>
      </x:c>
      <x:c r="L544" s="10" t="n">
        <x:v>8325.8</x:v>
      </x:c>
      <x:c r="M544" s="12" t="n">
        <x:v>0.2791135838900775</x:v>
      </x:c>
    </x:row>
    <x:row r="545">
      <x:c r="A545" t="str">
        <x:v>ORD-10544</x:v>
      </x:c>
      <x:c r="B545" s="8" t="n">
        <x:v>46125</x:v>
      </x:c>
      <x:c r="C545" t="n">
        <x:v>2026</x:v>
      </x:c>
      <x:c r="D545" t="str">
        <x:v>United Kingdom</x:v>
      </x:c>
      <x:c r="E545" t="str">
        <x:v>Europe</x:v>
      </x:c>
      <x:c r="F545" t="str">
        <x:v>Office Supplies</x:v>
      </x:c>
      <x:c r="G545" t="str">
        <x:v>Binders</x:v>
      </x:c>
      <x:c r="H545" t="str">
        <x:v>Home Office</x:v>
      </x:c>
      <x:c r="I545" t="n">
        <x:v>51</x:v>
      </x:c>
      <x:c r="J545" s="10" t="n">
        <x:v>4609.28</x:v>
      </x:c>
      <x:c r="K545" s="10" t="n">
        <x:v>3957.02</x:v>
      </x:c>
      <x:c r="L545" s="10" t="n">
        <x:v>652.26</x:v>
      </x:c>
      <x:c r="M545" s="12" t="n">
        <x:v>0.14150991056826895</x:v>
      </x:c>
    </x:row>
    <x:row r="546">
      <x:c r="A546" t="str">
        <x:v>ORD-10545</x:v>
      </x:c>
      <x:c r="B546" s="8" t="n">
        <x:v>46152</x:v>
      </x:c>
      <x:c r="C546" t="n">
        <x:v>2026</x:v>
      </x:c>
      <x:c r="D546" t="str">
        <x:v>United Kingdom</x:v>
      </x:c>
      <x:c r="E546" t="str">
        <x:v>Europe</x:v>
      </x:c>
      <x:c r="F546" t="str">
        <x:v>Office Supplies</x:v>
      </x:c>
      <x:c r="G546" t="str">
        <x:v>Desk Organizer</x:v>
      </x:c>
      <x:c r="H546" t="str">
        <x:v>Consumer</x:v>
      </x:c>
      <x:c r="I546" t="n">
        <x:v>21</x:v>
      </x:c>
      <x:c r="J546" s="10" t="n">
        <x:v>1975.74</x:v>
      </x:c>
      <x:c r="K546" s="10" t="n">
        <x:v>1617.51</x:v>
      </x:c>
      <x:c r="L546" s="10" t="n">
        <x:v>358.23</x:v>
      </x:c>
      <x:c r="M546" s="12" t="n">
        <x:v>0.18131271489348572</x:v>
      </x:c>
    </x:row>
    <x:row r="547">
      <x:c r="A547" t="str">
        <x:v>ORD-10546</x:v>
      </x:c>
      <x:c r="B547" s="8" t="n">
        <x:v>46183</x:v>
      </x:c>
      <x:c r="C547" t="n">
        <x:v>2026</x:v>
      </x:c>
      <x:c r="D547" t="str">
        <x:v>United Kingdom</x:v>
      </x:c>
      <x:c r="E547" t="str">
        <x:v>Europe</x:v>
      </x:c>
      <x:c r="F547" t="str">
        <x:v>Office Supplies</x:v>
      </x:c>
      <x:c r="G547" t="str">
        <x:v>Desk Organizer</x:v>
      </x:c>
      <x:c r="H547" t="str">
        <x:v>Consumer</x:v>
      </x:c>
      <x:c r="I547" t="n">
        <x:v>27</x:v>
      </x:c>
      <x:c r="J547" s="10" t="n">
        <x:v>2011.8</x:v>
      </x:c>
      <x:c r="K547" s="10" t="n">
        <x:v>1709.02</x:v>
      </x:c>
      <x:c r="L547" s="10" t="n">
        <x:v>302.78</x:v>
      </x:c>
      <x:c r="M547" s="12" t="n">
        <x:v>0.1504998630030667</x:v>
      </x:c>
    </x:row>
    <x:row r="548">
      <x:c r="A548" t="str">
        <x:v>ORD-10547</x:v>
      </x:c>
      <x:c r="B548" s="8" t="n">
        <x:v>46225</x:v>
      </x:c>
      <x:c r="C548" t="n">
        <x:v>2026</x:v>
      </x:c>
      <x:c r="D548" t="str">
        <x:v>United Kingdom</x:v>
      </x:c>
      <x:c r="E548" t="str">
        <x:v>Europe</x:v>
      </x:c>
      <x:c r="F548" t="str">
        <x:v>Technology</x:v>
      </x:c>
      <x:c r="G548" t="str">
        <x:v>Headphones</x:v>
      </x:c>
      <x:c r="H548" t="str">
        <x:v>Consumer</x:v>
      </x:c>
      <x:c r="I548" t="n">
        <x:v>54</x:v>
      </x:c>
      <x:c r="J548" s="10" t="n">
        <x:v>35940.18</x:v>
      </x:c>
      <x:c r="K548" s="10" t="n">
        <x:v>25642.84</x:v>
      </x:c>
      <x:c r="L548" s="10" t="n">
        <x:v>10297.34</x:v>
      </x:c>
      <x:c r="M548" s="12" t="n">
        <x:v>0.28651333435395077</x:v>
      </x:c>
    </x:row>
    <x:row r="549">
      <x:c r="A549" t="str">
        <x:v>ORD-10548</x:v>
      </x:c>
      <x:c r="B549" s="8" t="n">
        <x:v>46247</x:v>
      </x:c>
      <x:c r="C549" t="n">
        <x:v>2026</x:v>
      </x:c>
      <x:c r="D549" t="str">
        <x:v>United Kingdom</x:v>
      </x:c>
      <x:c r="E549" t="str">
        <x:v>Europe</x:v>
      </x:c>
      <x:c r="F549" t="str">
        <x:v>Furniture</x:v>
      </x:c>
      <x:c r="G549" t="str">
        <x:v>Office Chair</x:v>
      </x:c>
      <x:c r="H549" t="str">
        <x:v>Home Office</x:v>
      </x:c>
      <x:c r="I549" t="n">
        <x:v>84</x:v>
      </x:c>
      <x:c r="J549" s="10" t="n">
        <x:v>27850.97</x:v>
      </x:c>
      <x:c r="K549" s="10" t="n">
        <x:v>21876.31</x:v>
      </x:c>
      <x:c r="L549" s="10" t="n">
        <x:v>5974.66</x:v>
      </x:c>
      <x:c r="M549" s="12" t="n">
        <x:v>0.21452246298088967</x:v>
      </x:c>
    </x:row>
    <x:row r="550">
      <x:c r="A550" t="str">
        <x:v>ORD-10549</x:v>
      </x:c>
      <x:c r="B550" s="8" t="n">
        <x:v>46273</x:v>
      </x:c>
      <x:c r="C550" t="n">
        <x:v>2026</x:v>
      </x:c>
      <x:c r="D550" t="str">
        <x:v>United Kingdom</x:v>
      </x:c>
      <x:c r="E550" t="str">
        <x:v>Europe</x:v>
      </x:c>
      <x:c r="F550" t="str">
        <x:v>Furniture</x:v>
      </x:c>
      <x:c r="G550" t="str">
        <x:v>Desk</x:v>
      </x:c>
      <x:c r="H550" t="str">
        <x:v>Corporate</x:v>
      </x:c>
      <x:c r="I550" t="n">
        <x:v>20</x:v>
      </x:c>
      <x:c r="J550" s="10" t="n">
        <x:v>6128.11</x:v>
      </x:c>
      <x:c r="K550" s="10" t="n">
        <x:v>4744.34</x:v>
      </x:c>
      <x:c r="L550" s="10" t="n">
        <x:v>1383.77</x:v>
      </x:c>
      <x:c r="M550" s="12" t="n">
        <x:v>0.22580695473855808</x:v>
      </x:c>
    </x:row>
    <x:row r="551">
      <x:c r="A551" t="str">
        <x:v>ORD-10550</x:v>
      </x:c>
      <x:c r="B551" s="8" t="n">
        <x:v>46317</x:v>
      </x:c>
      <x:c r="C551" t="n">
        <x:v>2026</x:v>
      </x:c>
      <x:c r="D551" t="str">
        <x:v>United Kingdom</x:v>
      </x:c>
      <x:c r="E551" t="str">
        <x:v>Europe</x:v>
      </x:c>
      <x:c r="F551" t="str">
        <x:v>Furniture</x:v>
      </x:c>
      <x:c r="G551" t="str">
        <x:v>Office Chair</x:v>
      </x:c>
      <x:c r="H551" t="str">
        <x:v>Consumer</x:v>
      </x:c>
      <x:c r="I551" t="n">
        <x:v>111</x:v>
      </x:c>
      <x:c r="J551" s="10" t="n">
        <x:v>43746.51</x:v>
      </x:c>
      <x:c r="K551" s="10" t="n">
        <x:v>35801.96</x:v>
      </x:c>
      <x:c r="L551" s="10" t="n">
        <x:v>7944.56</x:v>
      </x:c>
      <x:c r="M551" s="12" t="n">
        <x:v>0.18160431452307757</x:v>
      </x:c>
    </x:row>
    <x:row r="552">
      <x:c r="A552" t="str">
        <x:v>ORD-10551</x:v>
      </x:c>
      <x:c r="B552" s="8" t="n">
        <x:v>46353</x:v>
      </x:c>
      <x:c r="C552" t="n">
        <x:v>2026</x:v>
      </x:c>
      <x:c r="D552" t="str">
        <x:v>United Kingdom</x:v>
      </x:c>
      <x:c r="E552" t="str">
        <x:v>Europe</x:v>
      </x:c>
      <x:c r="F552" t="str">
        <x:v>Furniture</x:v>
      </x:c>
      <x:c r="G552" t="str">
        <x:v>Storage Cabinet</x:v>
      </x:c>
      <x:c r="H552" t="str">
        <x:v>Home Office</x:v>
      </x:c>
      <x:c r="I552" t="n">
        <x:v>44</x:v>
      </x:c>
      <x:c r="J552" s="10" t="n">
        <x:v>16068.15</x:v>
      </x:c>
      <x:c r="K552" s="10" t="n">
        <x:v>11715.36</x:v>
      </x:c>
      <x:c r="L552" s="10" t="n">
        <x:v>4352.79</x:v>
      </x:c>
      <x:c r="M552" s="12" t="n">
        <x:v>0.2708956599716301</x:v>
      </x:c>
    </x:row>
    <x:row r="553">
      <x:c r="A553" t="str">
        <x:v>ORD-10552</x:v>
      </x:c>
      <x:c r="B553" s="8" t="n">
        <x:v>46364</x:v>
      </x:c>
      <x:c r="C553" t="n">
        <x:v>2026</x:v>
      </x:c>
      <x:c r="D553" t="str">
        <x:v>United Kingdom</x:v>
      </x:c>
      <x:c r="E553" t="str">
        <x:v>Europe</x:v>
      </x:c>
      <x:c r="F553" t="str">
        <x:v>Office Supplies</x:v>
      </x:c>
      <x:c r="G553" t="str">
        <x:v>Desk Organizer</x:v>
      </x:c>
      <x:c r="H553" t="str">
        <x:v>Home Office</x:v>
      </x:c>
      <x:c r="I553" t="n">
        <x:v>102</x:v>
      </x:c>
      <x:c r="J553" s="10" t="n">
        <x:v>12611.3</x:v>
      </x:c>
      <x:c r="K553" s="10" t="n">
        <x:v>10253.25</x:v>
      </x:c>
      <x:c r="L553" s="10" t="n">
        <x:v>2358.05</x:v>
      </x:c>
      <x:c r="M553" s="12" t="n">
        <x:v>0.18697892657463042</x:v>
      </x:c>
    </x:row>
    <x:row r="554">
      <x:c r="A554" t="str">
        <x:v>ORD-10553</x:v>
      </x:c>
      <x:c r="B554" s="8" t="n">
        <x:v>46039</x:v>
      </x:c>
      <x:c r="C554" t="n">
        <x:v>2026</x:v>
      </x:c>
      <x:c r="D554" t="str">
        <x:v>Germany</x:v>
      </x:c>
      <x:c r="E554" t="str">
        <x:v>Europe</x:v>
      </x:c>
      <x:c r="F554" t="str">
        <x:v>Furniture</x:v>
      </x:c>
      <x:c r="G554" t="str">
        <x:v>Bookshelf</x:v>
      </x:c>
      <x:c r="H554" t="str">
        <x:v>Consumer</x:v>
      </x:c>
      <x:c r="I554" t="n">
        <x:v>65</x:v>
      </x:c>
      <x:c r="J554" s="10" t="n">
        <x:v>30083.31</x:v>
      </x:c>
      <x:c r="K554" s="10" t="n">
        <x:v>22390.51</x:v>
      </x:c>
      <x:c r="L554" s="10" t="n">
        <x:v>7692.8</x:v>
      </x:c>
      <x:c r="M554" s="12" t="n">
        <x:v>0.25571668389564317</x:v>
      </x:c>
    </x:row>
    <x:row r="555">
      <x:c r="A555" t="str">
        <x:v>ORD-10554</x:v>
      </x:c>
      <x:c r="B555" s="8" t="n">
        <x:v>46059</x:v>
      </x:c>
      <x:c r="C555" t="n">
        <x:v>2026</x:v>
      </x:c>
      <x:c r="D555" t="str">
        <x:v>Germany</x:v>
      </x:c>
      <x:c r="E555" t="str">
        <x:v>Europe</x:v>
      </x:c>
      <x:c r="F555" t="str">
        <x:v>Office Supplies</x:v>
      </x:c>
      <x:c r="G555" t="str">
        <x:v>Pens</x:v>
      </x:c>
      <x:c r="H555" t="str">
        <x:v>Consumer</x:v>
      </x:c>
      <x:c r="I555" t="n">
        <x:v>111</x:v>
      </x:c>
      <x:c r="J555" s="10" t="n">
        <x:v>11695.74</x:v>
      </x:c>
      <x:c r="K555" s="10" t="n">
        <x:v>8843.3</x:v>
      </x:c>
      <x:c r="L555" s="10" t="n">
        <x:v>2852.44</x:v>
      </x:c>
      <x:c r="M555" s="12" t="n">
        <x:v>0.24388737796339519</x:v>
      </x:c>
    </x:row>
    <x:row r="556">
      <x:c r="A556" t="str">
        <x:v>ORD-10555</x:v>
      </x:c>
      <x:c r="B556" s="8" t="n">
        <x:v>46095</x:v>
      </x:c>
      <x:c r="C556" t="n">
        <x:v>2026</x:v>
      </x:c>
      <x:c r="D556" t="str">
        <x:v>Germany</x:v>
      </x:c>
      <x:c r="E556" t="str">
        <x:v>Europe</x:v>
      </x:c>
      <x:c r="F556" t="str">
        <x:v>Technology</x:v>
      </x:c>
      <x:c r="G556" t="str">
        <x:v>Smartphone</x:v>
      </x:c>
      <x:c r="H556" t="str">
        <x:v>Consumer</x:v>
      </x:c>
      <x:c r="I556" t="n">
        <x:v>20</x:v>
      </x:c>
      <x:c r="J556" s="10" t="n">
        <x:v>11622.84</x:v>
      </x:c>
      <x:c r="K556" s="10" t="n">
        <x:v>7571.19</x:v>
      </x:c>
      <x:c r="L556" s="10" t="n">
        <x:v>4051.65</x:v>
      </x:c>
      <x:c r="M556" s="12" t="n">
        <x:v>0.34859359236042986</x:v>
      </x:c>
    </x:row>
    <x:row r="557">
      <x:c r="A557" t="str">
        <x:v>ORD-10556</x:v>
      </x:c>
      <x:c r="B557" s="8" t="n">
        <x:v>46138</x:v>
      </x:c>
      <x:c r="C557" t="n">
        <x:v>2026</x:v>
      </x:c>
      <x:c r="D557" t="str">
        <x:v>Germany</x:v>
      </x:c>
      <x:c r="E557" t="str">
        <x:v>Europe</x:v>
      </x:c>
      <x:c r="F557" t="str">
        <x:v>Technology</x:v>
      </x:c>
      <x:c r="G557" t="str">
        <x:v>Smartphone</x:v>
      </x:c>
      <x:c r="H557" t="str">
        <x:v>Home Office</x:v>
      </x:c>
      <x:c r="I557" t="n">
        <x:v>48</x:v>
      </x:c>
      <x:c r="J557" s="10" t="n">
        <x:v>26167.41</x:v>
      </x:c>
      <x:c r="K557" s="10" t="n">
        <x:v>17865.74</x:v>
      </x:c>
      <x:c r="L557" s="10" t="n">
        <x:v>8301.67</x:v>
      </x:c>
      <x:c r="M557" s="12" t="n">
        <x:v>0.31725236110166366</x:v>
      </x:c>
    </x:row>
    <x:row r="558">
      <x:c r="A558" t="str">
        <x:v>ORD-10557</x:v>
      </x:c>
      <x:c r="B558" s="8" t="n">
        <x:v>46151</x:v>
      </x:c>
      <x:c r="C558" t="n">
        <x:v>2026</x:v>
      </x:c>
      <x:c r="D558" t="str">
        <x:v>Germany</x:v>
      </x:c>
      <x:c r="E558" t="str">
        <x:v>Europe</x:v>
      </x:c>
      <x:c r="F558" t="str">
        <x:v>Technology</x:v>
      </x:c>
      <x:c r="G558" t="str">
        <x:v>Laptop</x:v>
      </x:c>
      <x:c r="H558" t="str">
        <x:v>Corporate</x:v>
      </x:c>
      <x:c r="I558" t="n">
        <x:v>86</x:v>
      </x:c>
      <x:c r="J558" s="10" t="n">
        <x:v>49201.1</x:v>
      </x:c>
      <x:c r="K558" s="10" t="n">
        <x:v>35959.35</x:v>
      </x:c>
      <x:c r="L558" s="10" t="n">
        <x:v>13241.75</x:v>
      </x:c>
      <x:c r="M558" s="12" t="n">
        <x:v>0.2691352166443684</x:v>
      </x:c>
    </x:row>
    <x:row r="559">
      <x:c r="A559" t="str">
        <x:v>ORD-10558</x:v>
      </x:c>
      <x:c r="B559" s="8" t="n">
        <x:v>46199</x:v>
      </x:c>
      <x:c r="C559" t="n">
        <x:v>2026</x:v>
      </x:c>
      <x:c r="D559" t="str">
        <x:v>Germany</x:v>
      </x:c>
      <x:c r="E559" t="str">
        <x:v>Europe</x:v>
      </x:c>
      <x:c r="F559" t="str">
        <x:v>Office Supplies</x:v>
      </x:c>
      <x:c r="G559" t="str">
        <x:v>Desk Organizer</x:v>
      </x:c>
      <x:c r="H559" t="str">
        <x:v>Consumer</x:v>
      </x:c>
      <x:c r="I559" t="n">
        <x:v>115</x:v>
      </x:c>
      <x:c r="J559" s="10" t="n">
        <x:v>13909.94</x:v>
      </x:c>
      <x:c r="K559" s="10" t="n">
        <x:v>11120.87</x:v>
      </x:c>
      <x:c r="L559" s="10" t="n">
        <x:v>2789.07</x:v>
      </x:c>
      <x:c r="M559" s="12" t="n">
        <x:v>0.20050913052787972</x:v>
      </x:c>
    </x:row>
    <x:row r="560">
      <x:c r="A560" t="str">
        <x:v>ORD-10559</x:v>
      </x:c>
      <x:c r="B560" s="8" t="n">
        <x:v>46228</x:v>
      </x:c>
      <x:c r="C560" t="n">
        <x:v>2026</x:v>
      </x:c>
      <x:c r="D560" t="str">
        <x:v>Germany</x:v>
      </x:c>
      <x:c r="E560" t="str">
        <x:v>Europe</x:v>
      </x:c>
      <x:c r="F560" t="str">
        <x:v>Furniture</x:v>
      </x:c>
      <x:c r="G560" t="str">
        <x:v>Office Chair</x:v>
      </x:c>
      <x:c r="H560" t="str">
        <x:v>Corporate</x:v>
      </x:c>
      <x:c r="I560" t="n">
        <x:v>34</x:v>
      </x:c>
      <x:c r="J560" s="10" t="n">
        <x:v>10220.25</x:v>
      </x:c>
      <x:c r="K560" s="10" t="n">
        <x:v>7761.74</x:v>
      </x:c>
      <x:c r="L560" s="10" t="n">
        <x:v>2458.5</x:v>
      </x:c>
      <x:c r="M560" s="12" t="n">
        <x:v>0.24055209599376662</x:v>
      </x:c>
    </x:row>
    <x:row r="561">
      <x:c r="A561" t="str">
        <x:v>ORD-10560</x:v>
      </x:c>
      <x:c r="B561" s="8" t="n">
        <x:v>46252</x:v>
      </x:c>
      <x:c r="C561" t="n">
        <x:v>2026</x:v>
      </x:c>
      <x:c r="D561" t="str">
        <x:v>Germany</x:v>
      </x:c>
      <x:c r="E561" t="str">
        <x:v>Europe</x:v>
      </x:c>
      <x:c r="F561" t="str">
        <x:v>Technology</x:v>
      </x:c>
      <x:c r="G561" t="str">
        <x:v>Laptop</x:v>
      </x:c>
      <x:c r="H561" t="str">
        <x:v>Home Office</x:v>
      </x:c>
      <x:c r="I561" t="n">
        <x:v>114</x:v>
      </x:c>
      <x:c r="J561" s="10" t="n">
        <x:v>53486.76</x:v>
      </x:c>
      <x:c r="K561" s="10" t="n">
        <x:v>39348.54</x:v>
      </x:c>
      <x:c r="L561" s="10" t="n">
        <x:v>14138.22</x:v>
      </x:c>
      <x:c r="M561" s="12" t="n">
        <x:v>0.26433114248586465</x:v>
      </x:c>
    </x:row>
    <x:row r="562">
      <x:c r="A562" t="str">
        <x:v>ORD-10561</x:v>
      </x:c>
      <x:c r="B562" s="8" t="n">
        <x:v>46281</x:v>
      </x:c>
      <x:c r="C562" t="n">
        <x:v>2026</x:v>
      </x:c>
      <x:c r="D562" t="str">
        <x:v>Germany</x:v>
      </x:c>
      <x:c r="E562" t="str">
        <x:v>Europe</x:v>
      </x:c>
      <x:c r="F562" t="str">
        <x:v>Furniture</x:v>
      </x:c>
      <x:c r="G562" t="str">
        <x:v>Storage Cabinet</x:v>
      </x:c>
      <x:c r="H562" t="str">
        <x:v>Corporate</x:v>
      </x:c>
      <x:c r="I562" t="n">
        <x:v>64</x:v>
      </x:c>
      <x:c r="J562" s="10" t="n">
        <x:v>26208.35</x:v>
      </x:c>
      <x:c r="K562" s="10" t="n">
        <x:v>19953.92</x:v>
      </x:c>
      <x:c r="L562" s="10" t="n">
        <x:v>6254.43</x:v>
      </x:c>
      <x:c r="M562" s="12" t="n">
        <x:v>0.2386427887758274</x:v>
      </x:c>
    </x:row>
    <x:row r="563">
      <x:c r="A563" t="str">
        <x:v>ORD-10562</x:v>
      </x:c>
      <x:c r="B563" s="8" t="n">
        <x:v>46318</x:v>
      </x:c>
      <x:c r="C563" t="n">
        <x:v>2026</x:v>
      </x:c>
      <x:c r="D563" t="str">
        <x:v>Germany</x:v>
      </x:c>
      <x:c r="E563" t="str">
        <x:v>Europe</x:v>
      </x:c>
      <x:c r="F563" t="str">
        <x:v>Technology</x:v>
      </x:c>
      <x:c r="G563" t="str">
        <x:v>Smartphone</x:v>
      </x:c>
      <x:c r="H563" t="str">
        <x:v>Corporate</x:v>
      </x:c>
      <x:c r="I563" t="n">
        <x:v>66</x:v>
      </x:c>
      <x:c r="J563" s="10" t="n">
        <x:v>31948.46</x:v>
      </x:c>
      <x:c r="K563" s="10" t="n">
        <x:v>22266.84</x:v>
      </x:c>
      <x:c r="L563" s="10" t="n">
        <x:v>9681.62</x:v>
      </x:c>
      <x:c r="M563" s="12" t="n">
        <x:v>0.3030386316902753</x:v>
      </x:c>
    </x:row>
    <x:row r="564">
      <x:c r="A564" t="str">
        <x:v>ORD-10563</x:v>
      </x:c>
      <x:c r="B564" s="8" t="n">
        <x:v>46342</x:v>
      </x:c>
      <x:c r="C564" t="n">
        <x:v>2026</x:v>
      </x:c>
      <x:c r="D564" t="str">
        <x:v>Germany</x:v>
      </x:c>
      <x:c r="E564" t="str">
        <x:v>Europe</x:v>
      </x:c>
      <x:c r="F564" t="str">
        <x:v>Furniture</x:v>
      </x:c>
      <x:c r="G564" t="str">
        <x:v>Office Chair</x:v>
      </x:c>
      <x:c r="H564" t="str">
        <x:v>Corporate</x:v>
      </x:c>
      <x:c r="I564" t="n">
        <x:v>57</x:v>
      </x:c>
      <x:c r="J564" s="10" t="n">
        <x:v>23779.61</x:v>
      </x:c>
      <x:c r="K564" s="10" t="n">
        <x:v>19596.42</x:v>
      </x:c>
      <x:c r="L564" s="10" t="n">
        <x:v>4183.19</x:v>
      </x:c>
      <x:c r="M564" s="12" t="n">
        <x:v>0.1759149170628933</x:v>
      </x:c>
    </x:row>
    <x:row r="565">
      <x:c r="A565" t="str">
        <x:v>ORD-10564</x:v>
      </x:c>
      <x:c r="B565" s="8" t="n">
        <x:v>46365</x:v>
      </x:c>
      <x:c r="C565" t="n">
        <x:v>2026</x:v>
      </x:c>
      <x:c r="D565" t="str">
        <x:v>Germany</x:v>
      </x:c>
      <x:c r="E565" t="str">
        <x:v>Europe</x:v>
      </x:c>
      <x:c r="F565" t="str">
        <x:v>Furniture</x:v>
      </x:c>
      <x:c r="G565" t="str">
        <x:v>Bookshelf</x:v>
      </x:c>
      <x:c r="H565" t="str">
        <x:v>Consumer</x:v>
      </x:c>
      <x:c r="I565" t="n">
        <x:v>58</x:v>
      </x:c>
      <x:c r="J565" s="10" t="n">
        <x:v>25778.8</x:v>
      </x:c>
      <x:c r="K565" s="10" t="n">
        <x:v>20458.92</x:v>
      </x:c>
      <x:c r="L565" s="10" t="n">
        <x:v>5319.88</x:v>
      </x:c>
      <x:c r="M565" s="12" t="n">
        <x:v>0.20636659441377156</x:v>
      </x:c>
    </x:row>
    <x:row r="566">
      <x:c r="A566" t="str">
        <x:v>ORD-10565</x:v>
      </x:c>
      <x:c r="B566" s="8" t="n">
        <x:v>46047</x:v>
      </x:c>
      <x:c r="C566" t="n">
        <x:v>2026</x:v>
      </x:c>
      <x:c r="D566" t="str">
        <x:v>France</x:v>
      </x:c>
      <x:c r="E566" t="str">
        <x:v>Europe</x:v>
      </x:c>
      <x:c r="F566" t="str">
        <x:v>Furniture</x:v>
      </x:c>
      <x:c r="G566" t="str">
        <x:v>Office Chair</x:v>
      </x:c>
      <x:c r="H566" t="str">
        <x:v>Consumer</x:v>
      </x:c>
      <x:c r="I566" t="n">
        <x:v>32</x:v>
      </x:c>
      <x:c r="J566" s="10" t="n">
        <x:v>9032.5</x:v>
      </x:c>
      <x:c r="K566" s="10" t="n">
        <x:v>6690.85</x:v>
      </x:c>
      <x:c r="L566" s="10" t="n">
        <x:v>2341.65</x:v>
      </x:c>
      <x:c r="M566" s="12" t="n">
        <x:v>0.25924683699885964</x:v>
      </x:c>
    </x:row>
    <x:row r="567">
      <x:c r="A567" t="str">
        <x:v>ORD-10566</x:v>
      </x:c>
      <x:c r="B567" s="8" t="n">
        <x:v>46068</x:v>
      </x:c>
      <x:c r="C567" t="n">
        <x:v>2026</x:v>
      </x:c>
      <x:c r="D567" t="str">
        <x:v>France</x:v>
      </x:c>
      <x:c r="E567" t="str">
        <x:v>Europe</x:v>
      </x:c>
      <x:c r="F567" t="str">
        <x:v>Furniture</x:v>
      </x:c>
      <x:c r="G567" t="str">
        <x:v>Bookshelf</x:v>
      </x:c>
      <x:c r="H567" t="str">
        <x:v>Home Office</x:v>
      </x:c>
      <x:c r="I567" t="n">
        <x:v>68</x:v>
      </x:c>
      <x:c r="J567" s="10" t="n">
        <x:v>22963.58</x:v>
      </x:c>
      <x:c r="K567" s="10" t="n">
        <x:v>18813.73</x:v>
      </x:c>
      <x:c r="L567" s="10" t="n">
        <x:v>4149.85</x:v>
      </x:c>
      <x:c r="M567" s="12" t="n">
        <x:v>0.18071442203635188</x:v>
      </x:c>
    </x:row>
    <x:row r="568">
      <x:c r="A568" t="str">
        <x:v>ORD-10567</x:v>
      </x:c>
      <x:c r="B568" s="8" t="n">
        <x:v>46108</x:v>
      </x:c>
      <x:c r="C568" t="n">
        <x:v>2026</x:v>
      </x:c>
      <x:c r="D568" t="str">
        <x:v>France</x:v>
      </x:c>
      <x:c r="E568" t="str">
        <x:v>Europe</x:v>
      </x:c>
      <x:c r="F568" t="str">
        <x:v>Technology</x:v>
      </x:c>
      <x:c r="G568" t="str">
        <x:v>Headphones</x:v>
      </x:c>
      <x:c r="H568" t="str">
        <x:v>Home Office</x:v>
      </x:c>
      <x:c r="I568" t="n">
        <x:v>77</x:v>
      </x:c>
      <x:c r="J568" s="10" t="n">
        <x:v>45503.52</x:v>
      </x:c>
      <x:c r="K568" s="10" t="n">
        <x:v>30302.49</x:v>
      </x:c>
      <x:c r="L568" s="10" t="n">
        <x:v>15201.03</x:v>
      </x:c>
      <x:c r="M568" s="12" t="n">
        <x:v>0.33406267646602705</x:v>
      </x:c>
    </x:row>
    <x:row r="569">
      <x:c r="A569" t="str">
        <x:v>ORD-10568</x:v>
      </x:c>
      <x:c r="B569" s="8" t="n">
        <x:v>46137</x:v>
      </x:c>
      <x:c r="C569" t="n">
        <x:v>2026</x:v>
      </x:c>
      <x:c r="D569" t="str">
        <x:v>France</x:v>
      </x:c>
      <x:c r="E569" t="str">
        <x:v>Europe</x:v>
      </x:c>
      <x:c r="F569" t="str">
        <x:v>Technology</x:v>
      </x:c>
      <x:c r="G569" t="str">
        <x:v>Smartphone</x:v>
      </x:c>
      <x:c r="H569" t="str">
        <x:v>Consumer</x:v>
      </x:c>
      <x:c r="I569" t="n">
        <x:v>54</x:v>
      </x:c>
      <x:c r="J569" s="10" t="n">
        <x:v>31118.75</x:v>
      </x:c>
      <x:c r="K569" s="10" t="n">
        <x:v>22455.09</x:v>
      </x:c>
      <x:c r="L569" s="10" t="n">
        <x:v>8663.65</x:v>
      </x:c>
      <x:c r="M569" s="12" t="n">
        <x:v>0.27840621692149325</x:v>
      </x:c>
    </x:row>
    <x:row r="570">
      <x:c r="A570" t="str">
        <x:v>ORD-10569</x:v>
      </x:c>
      <x:c r="B570" s="8" t="n">
        <x:v>46144</x:v>
      </x:c>
      <x:c r="C570" t="n">
        <x:v>2026</x:v>
      </x:c>
      <x:c r="D570" t="str">
        <x:v>France</x:v>
      </x:c>
      <x:c r="E570" t="str">
        <x:v>Europe</x:v>
      </x:c>
      <x:c r="F570" t="str">
        <x:v>Office Supplies</x:v>
      </x:c>
      <x:c r="G570" t="str">
        <x:v>Printer Paper</x:v>
      </x:c>
      <x:c r="H570" t="str">
        <x:v>Consumer</x:v>
      </x:c>
      <x:c r="I570" t="n">
        <x:v>39</x:v>
      </x:c>
      <x:c r="J570" s="10" t="n">
        <x:v>4352.51</x:v>
      </x:c>
      <x:c r="K570" s="10" t="n">
        <x:v>3681.85</x:v>
      </x:c>
      <x:c r="L570" s="10" t="n">
        <x:v>670.67</x:v>
      </x:c>
      <x:c r="M570" s="12" t="n">
        <x:v>0.1540872131320625</x:v>
      </x:c>
    </x:row>
    <x:row r="571">
      <x:c r="A571" t="str">
        <x:v>ORD-10570</x:v>
      </x:c>
      <x:c r="B571" s="8" t="n">
        <x:v>46182</x:v>
      </x:c>
      <x:c r="C571" t="n">
        <x:v>2026</x:v>
      </x:c>
      <x:c r="D571" t="str">
        <x:v>France</x:v>
      </x:c>
      <x:c r="E571" t="str">
        <x:v>Europe</x:v>
      </x:c>
      <x:c r="F571" t="str">
        <x:v>Technology</x:v>
      </x:c>
      <x:c r="G571" t="str">
        <x:v>Laptop</x:v>
      </x:c>
      <x:c r="H571" t="str">
        <x:v>Corporate</x:v>
      </x:c>
      <x:c r="I571" t="n">
        <x:v>21</x:v>
      </x:c>
      <x:c r="J571" s="10" t="n">
        <x:v>13389.13</x:v>
      </x:c>
      <x:c r="K571" s="10" t="n">
        <x:v>9177.5</x:v>
      </x:c>
      <x:c r="L571" s="10" t="n">
        <x:v>4211.63</x:v>
      </x:c>
      <x:c r="M571" s="12" t="n">
        <x:v>0.3145560734264044</x:v>
      </x:c>
    </x:row>
    <x:row r="572">
      <x:c r="A572" t="str">
        <x:v>ORD-10571</x:v>
      </x:c>
      <x:c r="B572" s="8" t="n">
        <x:v>46204</x:v>
      </x:c>
      <x:c r="C572" t="n">
        <x:v>2026</x:v>
      </x:c>
      <x:c r="D572" t="str">
        <x:v>France</x:v>
      </x:c>
      <x:c r="E572" t="str">
        <x:v>Europe</x:v>
      </x:c>
      <x:c r="F572" t="str">
        <x:v>Furniture</x:v>
      </x:c>
      <x:c r="G572" t="str">
        <x:v>Storage Cabinet</x:v>
      </x:c>
      <x:c r="H572" t="str">
        <x:v>Home Office</x:v>
      </x:c>
      <x:c r="I572" t="n">
        <x:v>65</x:v>
      </x:c>
      <x:c r="J572" s="10" t="n">
        <x:v>22310.58</x:v>
      </x:c>
      <x:c r="K572" s="10" t="n">
        <x:v>18186.14</x:v>
      </x:c>
      <x:c r="L572" s="10" t="n">
        <x:v>4124.44</x:v>
      </x:c>
      <x:c r="M572" s="12" t="n">
        <x:v>0.18486474306688389</x:v>
      </x:c>
    </x:row>
    <x:row r="573">
      <x:c r="A573" t="str">
        <x:v>ORD-10572</x:v>
      </x:c>
      <x:c r="B573" s="8" t="n">
        <x:v>46250</x:v>
      </x:c>
      <x:c r="C573" t="n">
        <x:v>2026</x:v>
      </x:c>
      <x:c r="D573" t="str">
        <x:v>France</x:v>
      </x:c>
      <x:c r="E573" t="str">
        <x:v>Europe</x:v>
      </x:c>
      <x:c r="F573" t="str">
        <x:v>Technology</x:v>
      </x:c>
      <x:c r="G573" t="str">
        <x:v>Monitor</x:v>
      </x:c>
      <x:c r="H573" t="str">
        <x:v>Corporate</x:v>
      </x:c>
      <x:c r="I573" t="n">
        <x:v>91</x:v>
      </x:c>
      <x:c r="J573" s="10" t="n">
        <x:v>45390.13</x:v>
      </x:c>
      <x:c r="K573" s="10" t="n">
        <x:v>29718.62</x:v>
      </x:c>
      <x:c r="L573" s="10" t="n">
        <x:v>15671.51</x:v>
      </x:c>
      <x:c r="M573" s="12" t="n">
        <x:v>0.34526244539363454</x:v>
      </x:c>
    </x:row>
    <x:row r="574">
      <x:c r="A574" t="str">
        <x:v>ORD-10573</x:v>
      </x:c>
      <x:c r="B574" s="8" t="n">
        <x:v>46292</x:v>
      </x:c>
      <x:c r="C574" t="n">
        <x:v>2026</x:v>
      </x:c>
      <x:c r="D574" t="str">
        <x:v>France</x:v>
      </x:c>
      <x:c r="E574" t="str">
        <x:v>Europe</x:v>
      </x:c>
      <x:c r="F574" t="str">
        <x:v>Office Supplies</x:v>
      </x:c>
      <x:c r="G574" t="str">
        <x:v>Binders</x:v>
      </x:c>
      <x:c r="H574" t="str">
        <x:v>Corporate</x:v>
      </x:c>
      <x:c r="I574" t="n">
        <x:v>35</x:v>
      </x:c>
      <x:c r="J574" s="10" t="n">
        <x:v>3837.13</x:v>
      </x:c>
      <x:c r="K574" s="10" t="n">
        <x:v>3219.2</x:v>
      </x:c>
      <x:c r="L574" s="10" t="n">
        <x:v>617.93</x:v>
      </x:c>
      <x:c r="M574" s="12" t="n">
        <x:v>0.16103919126000504</x:v>
      </x:c>
    </x:row>
    <x:row r="575">
      <x:c r="A575" t="str">
        <x:v>ORD-10574</x:v>
      </x:c>
      <x:c r="B575" s="8" t="n">
        <x:v>46314</x:v>
      </x:c>
      <x:c r="C575" t="n">
        <x:v>2026</x:v>
      </x:c>
      <x:c r="D575" t="str">
        <x:v>France</x:v>
      </x:c>
      <x:c r="E575" t="str">
        <x:v>Europe</x:v>
      </x:c>
      <x:c r="F575" t="str">
        <x:v>Office Supplies</x:v>
      </x:c>
      <x:c r="G575" t="str">
        <x:v>Printer Paper</x:v>
      </x:c>
      <x:c r="H575" t="str">
        <x:v>Corporate</x:v>
      </x:c>
      <x:c r="I575" t="n">
        <x:v>18</x:v>
      </x:c>
      <x:c r="J575" s="10" t="n">
        <x:v>1546.98</x:v>
      </x:c>
      <x:c r="K575" s="10" t="n">
        <x:v>1315.63</x:v>
      </x:c>
      <x:c r="L575" s="10" t="n">
        <x:v>231.35</x:v>
      </x:c>
      <x:c r="M575" s="12" t="n">
        <x:v>0.1495488886718345</x:v>
      </x:c>
    </x:row>
    <x:row r="576">
      <x:c r="A576" t="str">
        <x:v>ORD-10575</x:v>
      </x:c>
      <x:c r="B576" s="8" t="n">
        <x:v>46340</x:v>
      </x:c>
      <x:c r="C576" t="n">
        <x:v>2026</x:v>
      </x:c>
      <x:c r="D576" t="str">
        <x:v>France</x:v>
      </x:c>
      <x:c r="E576" t="str">
        <x:v>Europe</x:v>
      </x:c>
      <x:c r="F576" t="str">
        <x:v>Technology</x:v>
      </x:c>
      <x:c r="G576" t="str">
        <x:v>Smartphone</x:v>
      </x:c>
      <x:c r="H576" t="str">
        <x:v>Home Office</x:v>
      </x:c>
      <x:c r="I576" t="n">
        <x:v>43</x:v>
      </x:c>
      <x:c r="J576" s="10" t="n">
        <x:v>24376.68</x:v>
      </x:c>
      <x:c r="K576" s="10" t="n">
        <x:v>17982.92</x:v>
      </x:c>
      <x:c r="L576" s="10" t="n">
        <x:v>6393.76</x:v>
      </x:c>
      <x:c r="M576" s="12" t="n">
        <x:v>0.2622900295122748</x:v>
      </x:c>
    </x:row>
    <x:row r="577">
      <x:c r="A577" t="str">
        <x:v>ORD-10576</x:v>
      </x:c>
      <x:c r="B577" s="8" t="n">
        <x:v>46362</x:v>
      </x:c>
      <x:c r="C577" t="n">
        <x:v>2026</x:v>
      </x:c>
      <x:c r="D577" t="str">
        <x:v>France</x:v>
      </x:c>
      <x:c r="E577" t="str">
        <x:v>Europe</x:v>
      </x:c>
      <x:c r="F577" t="str">
        <x:v>Office Supplies</x:v>
      </x:c>
      <x:c r="G577" t="str">
        <x:v>Printer Paper</x:v>
      </x:c>
      <x:c r="H577" t="str">
        <x:v>Home Office</x:v>
      </x:c>
      <x:c r="I577" t="n">
        <x:v>16</x:v>
      </x:c>
      <x:c r="J577" s="10" t="n">
        <x:v>1448.64</x:v>
      </x:c>
      <x:c r="K577" s="10" t="n">
        <x:v>1237.32</x:v>
      </x:c>
      <x:c r="L577" s="10" t="n">
        <x:v>211.32</x:v>
      </x:c>
      <x:c r="M577" s="12" t="n">
        <x:v>0.14587769089404176</x:v>
      </x:c>
    </x:row>
    <x:row r="578">
      <x:c r="A578" t="str">
        <x:v>ORD-10577</x:v>
      </x:c>
      <x:c r="B578" s="8" t="n">
        <x:v>46045</x:v>
      </x:c>
      <x:c r="C578" t="n">
        <x:v>2026</x:v>
      </x:c>
      <x:c r="D578" t="str">
        <x:v>Spain</x:v>
      </x:c>
      <x:c r="E578" t="str">
        <x:v>Europe</x:v>
      </x:c>
      <x:c r="F578" t="str">
        <x:v>Office Supplies</x:v>
      </x:c>
      <x:c r="G578" t="str">
        <x:v>Printer Paper</x:v>
      </x:c>
      <x:c r="H578" t="str">
        <x:v>Consumer</x:v>
      </x:c>
      <x:c r="I578" t="n">
        <x:v>47</x:v>
      </x:c>
      <x:c r="J578" s="10" t="n">
        <x:v>2889.14</x:v>
      </x:c>
      <x:c r="K578" s="10" t="n">
        <x:v>2186.61</x:v>
      </x:c>
      <x:c r="L578" s="10" t="n">
        <x:v>702.52</x:v>
      </x:c>
      <x:c r="M578" s="12" t="n">
        <x:v>0.24316059616696206</x:v>
      </x:c>
    </x:row>
    <x:row r="579">
      <x:c r="A579" t="str">
        <x:v>ORD-10578</x:v>
      </x:c>
      <x:c r="B579" s="8" t="n">
        <x:v>46060</x:v>
      </x:c>
      <x:c r="C579" t="n">
        <x:v>2026</x:v>
      </x:c>
      <x:c r="D579" t="str">
        <x:v>Spain</x:v>
      </x:c>
      <x:c r="E579" t="str">
        <x:v>Europe</x:v>
      </x:c>
      <x:c r="F579" t="str">
        <x:v>Office Supplies</x:v>
      </x:c>
      <x:c r="G579" t="str">
        <x:v>Binders</x:v>
      </x:c>
      <x:c r="H579" t="str">
        <x:v>Corporate</x:v>
      </x:c>
      <x:c r="I579" t="n">
        <x:v>63</x:v>
      </x:c>
      <x:c r="J579" s="10" t="n">
        <x:v>4379.57</x:v>
      </x:c>
      <x:c r="K579" s="10" t="n">
        <x:v>3569</x:v>
      </x:c>
      <x:c r="L579" s="10" t="n">
        <x:v>810.57</x:v>
      </x:c>
      <x:c r="M579" s="12" t="n">
        <x:v>0.18507976226687314</x:v>
      </x:c>
    </x:row>
    <x:row r="580">
      <x:c r="A580" t="str">
        <x:v>ORD-10579</x:v>
      </x:c>
      <x:c r="B580" s="8" t="n">
        <x:v>46085</x:v>
      </x:c>
      <x:c r="C580" t="n">
        <x:v>2026</x:v>
      </x:c>
      <x:c r="D580" t="str">
        <x:v>Spain</x:v>
      </x:c>
      <x:c r="E580" t="str">
        <x:v>Europe</x:v>
      </x:c>
      <x:c r="F580" t="str">
        <x:v>Furniture</x:v>
      </x:c>
      <x:c r="G580" t="str">
        <x:v>Bookshelf</x:v>
      </x:c>
      <x:c r="H580" t="str">
        <x:v>Home Office</x:v>
      </x:c>
      <x:c r="I580" t="n">
        <x:v>81</x:v>
      </x:c>
      <x:c r="J580" s="10" t="n">
        <x:v>19267.04</x:v>
      </x:c>
      <x:c r="K580" s="10" t="n">
        <x:v>15073.41</x:v>
      </x:c>
      <x:c r="L580" s="10" t="n">
        <x:v>4193.63</x:v>
      </x:c>
      <x:c r="M580" s="12" t="n">
        <x:v>0.21765830479665446</x:v>
      </x:c>
    </x:row>
    <x:row r="581">
      <x:c r="A581" t="str">
        <x:v>ORD-10580</x:v>
      </x:c>
      <x:c r="B581" s="8" t="n">
        <x:v>46134</x:v>
      </x:c>
      <x:c r="C581" t="n">
        <x:v>2026</x:v>
      </x:c>
      <x:c r="D581" t="str">
        <x:v>Spain</x:v>
      </x:c>
      <x:c r="E581" t="str">
        <x:v>Europe</x:v>
      </x:c>
      <x:c r="F581" t="str">
        <x:v>Technology</x:v>
      </x:c>
      <x:c r="G581" t="str">
        <x:v>Monitor</x:v>
      </x:c>
      <x:c r="H581" t="str">
        <x:v>Home Office</x:v>
      </x:c>
      <x:c r="I581" t="n">
        <x:v>97</x:v>
      </x:c>
      <x:c r="J581" s="10" t="n">
        <x:v>33129.22</x:v>
      </x:c>
      <x:c r="K581" s="10" t="n">
        <x:v>24385.72</x:v>
      </x:c>
      <x:c r="L581" s="10" t="n">
        <x:v>8743.51</x:v>
      </x:c>
      <x:c r="M581" s="12" t="n">
        <x:v>0.2639212253378116</x:v>
      </x:c>
    </x:row>
    <x:row r="582">
      <x:c r="A582" t="str">
        <x:v>ORD-10581</x:v>
      </x:c>
      <x:c r="B582" s="8" t="n">
        <x:v>46170</x:v>
      </x:c>
      <x:c r="C582" t="n">
        <x:v>2026</x:v>
      </x:c>
      <x:c r="D582" t="str">
        <x:v>Spain</x:v>
      </x:c>
      <x:c r="E582" t="str">
        <x:v>Europe</x:v>
      </x:c>
      <x:c r="F582" t="str">
        <x:v>Technology</x:v>
      </x:c>
      <x:c r="G582" t="str">
        <x:v>Headphones</x:v>
      </x:c>
      <x:c r="H582" t="str">
        <x:v>Consumer</x:v>
      </x:c>
      <x:c r="I582" t="n">
        <x:v>58</x:v>
      </x:c>
      <x:c r="J582" s="10" t="n">
        <x:v>24048.63</x:v>
      </x:c>
      <x:c r="K582" s="10" t="n">
        <x:v>16668.79</x:v>
      </x:c>
      <x:c r="L582" s="10" t="n">
        <x:v>7379.84</x:v>
      </x:c>
      <x:c r="M582" s="12" t="n">
        <x:v>0.30687136947375865</x:v>
      </x:c>
    </x:row>
    <x:row r="583">
      <x:c r="A583" t="str">
        <x:v>ORD-10582</x:v>
      </x:c>
      <x:c r="B583" s="8" t="n">
        <x:v>46180</x:v>
      </x:c>
      <x:c r="C583" t="n">
        <x:v>2026</x:v>
      </x:c>
      <x:c r="D583" t="str">
        <x:v>Spain</x:v>
      </x:c>
      <x:c r="E583" t="str">
        <x:v>Europe</x:v>
      </x:c>
      <x:c r="F583" t="str">
        <x:v>Furniture</x:v>
      </x:c>
      <x:c r="G583" t="str">
        <x:v>Bookshelf</x:v>
      </x:c>
      <x:c r="H583" t="str">
        <x:v>Home Office</x:v>
      </x:c>
      <x:c r="I583" t="n">
        <x:v>106</x:v>
      </x:c>
      <x:c r="J583" s="10" t="n">
        <x:v>26768.03</x:v>
      </x:c>
      <x:c r="K583" s="10" t="n">
        <x:v>20124.85</x:v>
      </x:c>
      <x:c r="L583" s="10" t="n">
        <x:v>6643.18</x:v>
      </x:c>
      <x:c r="M583" s="12" t="n">
        <x:v>0.24817597624551452</x:v>
      </x:c>
    </x:row>
    <x:row r="584">
      <x:c r="A584" t="str">
        <x:v>ORD-10583</x:v>
      </x:c>
      <x:c r="B584" s="8" t="n">
        <x:v>46216</x:v>
      </x:c>
      <x:c r="C584" t="n">
        <x:v>2026</x:v>
      </x:c>
      <x:c r="D584" t="str">
        <x:v>Spain</x:v>
      </x:c>
      <x:c r="E584" t="str">
        <x:v>Europe</x:v>
      </x:c>
      <x:c r="F584" t="str">
        <x:v>Technology</x:v>
      </x:c>
      <x:c r="G584" t="str">
        <x:v>Smartphone</x:v>
      </x:c>
      <x:c r="H584" t="str">
        <x:v>Consumer</x:v>
      </x:c>
      <x:c r="I584" t="n">
        <x:v>118</x:v>
      </x:c>
      <x:c r="J584" s="10" t="n">
        <x:v>46062.1</x:v>
      </x:c>
      <x:c r="K584" s="10" t="n">
        <x:v>30990.42</x:v>
      </x:c>
      <x:c r="L584" s="10" t="n">
        <x:v>15071.68</x:v>
      </x:c>
      <x:c r="M584" s="12" t="n">
        <x:v>0.32720347696545715</x:v>
      </x:c>
    </x:row>
    <x:row r="585">
      <x:c r="A585" t="str">
        <x:v>ORD-10584</x:v>
      </x:c>
      <x:c r="B585" s="8" t="n">
        <x:v>46244</x:v>
      </x:c>
      <x:c r="C585" t="n">
        <x:v>2026</x:v>
      </x:c>
      <x:c r="D585" t="str">
        <x:v>Spain</x:v>
      </x:c>
      <x:c r="E585" t="str">
        <x:v>Europe</x:v>
      </x:c>
      <x:c r="F585" t="str">
        <x:v>Office Supplies</x:v>
      </x:c>
      <x:c r="G585" t="str">
        <x:v>Binders</x:v>
      </x:c>
      <x:c r="H585" t="str">
        <x:v>Home Office</x:v>
      </x:c>
      <x:c r="I585" t="n">
        <x:v>32</x:v>
      </x:c>
      <x:c r="J585" s="10" t="n">
        <x:v>2086.62</x:v>
      </x:c>
      <x:c r="K585" s="10" t="n">
        <x:v>1651.25</x:v>
      </x:c>
      <x:c r="L585" s="10" t="n">
        <x:v>435.37</x:v>
      </x:c>
      <x:c r="M585" s="12" t="n">
        <x:v>0.20864806845549294</x:v>
      </x:c>
    </x:row>
    <x:row r="586">
      <x:c r="A586" t="str">
        <x:v>ORD-10585</x:v>
      </x:c>
      <x:c r="B586" s="8" t="n">
        <x:v>46284</x:v>
      </x:c>
      <x:c r="C586" t="n">
        <x:v>2026</x:v>
      </x:c>
      <x:c r="D586" t="str">
        <x:v>Spain</x:v>
      </x:c>
      <x:c r="E586" t="str">
        <x:v>Europe</x:v>
      </x:c>
      <x:c r="F586" t="str">
        <x:v>Furniture</x:v>
      </x:c>
      <x:c r="G586" t="str">
        <x:v>Storage Cabinet</x:v>
      </x:c>
      <x:c r="H586" t="str">
        <x:v>Corporate</x:v>
      </x:c>
      <x:c r="I586" t="n">
        <x:v>64</x:v>
      </x:c>
      <x:c r="J586" s="10" t="n">
        <x:v>14580.6</x:v>
      </x:c>
      <x:c r="K586" s="10" t="n">
        <x:v>11081.8</x:v>
      </x:c>
      <x:c r="L586" s="10" t="n">
        <x:v>3498.8</x:v>
      </x:c>
      <x:c r="M586" s="12" t="n">
        <x:v>0.23996284428960293</x:v>
      </x:c>
    </x:row>
    <x:row r="587">
      <x:c r="A587" t="str">
        <x:v>ORD-10586</x:v>
      </x:c>
      <x:c r="B587" s="8" t="n">
        <x:v>46321</x:v>
      </x:c>
      <x:c r="C587" t="n">
        <x:v>2026</x:v>
      </x:c>
      <x:c r="D587" t="str">
        <x:v>Spain</x:v>
      </x:c>
      <x:c r="E587" t="str">
        <x:v>Europe</x:v>
      </x:c>
      <x:c r="F587" t="str">
        <x:v>Technology</x:v>
      </x:c>
      <x:c r="G587" t="str">
        <x:v>Monitor</x:v>
      </x:c>
      <x:c r="H587" t="str">
        <x:v>Home Office</x:v>
      </x:c>
      <x:c r="I587" t="n">
        <x:v>106</x:v>
      </x:c>
      <x:c r="J587" s="10" t="n">
        <x:v>28910.33</x:v>
      </x:c>
      <x:c r="K587" s="10" t="n">
        <x:v>20406.18</x:v>
      </x:c>
      <x:c r="L587" s="10" t="n">
        <x:v>8504.15</x:v>
      </x:c>
      <x:c r="M587" s="12" t="n">
        <x:v>0.2941562121853055</x:v>
      </x:c>
    </x:row>
    <x:row r="588">
      <x:c r="A588" t="str">
        <x:v>ORD-10587</x:v>
      </x:c>
      <x:c r="B588" s="8" t="n">
        <x:v>46344</x:v>
      </x:c>
      <x:c r="C588" t="n">
        <x:v>2026</x:v>
      </x:c>
      <x:c r="D588" t="str">
        <x:v>Spain</x:v>
      </x:c>
      <x:c r="E588" t="str">
        <x:v>Europe</x:v>
      </x:c>
      <x:c r="F588" t="str">
        <x:v>Furniture</x:v>
      </x:c>
      <x:c r="G588" t="str">
        <x:v>Bookshelf</x:v>
      </x:c>
      <x:c r="H588" t="str">
        <x:v>Home Office</x:v>
      </x:c>
      <x:c r="I588" t="n">
        <x:v>53</x:v>
      </x:c>
      <x:c r="J588" s="10" t="n">
        <x:v>12735.12</x:v>
      </x:c>
      <x:c r="K588" s="10" t="n">
        <x:v>9285.47</x:v>
      </x:c>
      <x:c r="L588" s="10" t="n">
        <x:v>3449.65</x:v>
      </x:c>
      <x:c r="M588" s="12" t="n">
        <x:v>0.27087664335156797</x:v>
      </x:c>
    </x:row>
    <x:row r="589">
      <x:c r="A589" t="str">
        <x:v>ORD-10588</x:v>
      </x:c>
      <x:c r="B589" s="8" t="n">
        <x:v>46382</x:v>
      </x:c>
      <x:c r="C589" t="n">
        <x:v>2026</x:v>
      </x:c>
      <x:c r="D589" t="str">
        <x:v>Spain</x:v>
      </x:c>
      <x:c r="E589" t="str">
        <x:v>Europe</x:v>
      </x:c>
      <x:c r="F589" t="str">
        <x:v>Technology</x:v>
      </x:c>
      <x:c r="G589" t="str">
        <x:v>Monitor</x:v>
      </x:c>
      <x:c r="H589" t="str">
        <x:v>Consumer</x:v>
      </x:c>
      <x:c r="I589" t="n">
        <x:v>75</x:v>
      </x:c>
      <x:c r="J589" s="10" t="n">
        <x:v>19143.66</x:v>
      </x:c>
      <x:c r="K589" s="10" t="n">
        <x:v>14146.44</x:v>
      </x:c>
      <x:c r="L589" s="10" t="n">
        <x:v>4997.23</x:v>
      </x:c>
      <x:c r="M589" s="12" t="n">
        <x:v>0.26103822206722493</x:v>
      </x:c>
    </x:row>
    <x:row r="590">
      <x:c r="A590" t="str">
        <x:v>ORD-10589</x:v>
      </x:c>
      <x:c r="B590" s="8" t="n">
        <x:v>46030</x:v>
      </x:c>
      <x:c r="C590" t="n">
        <x:v>2026</x:v>
      </x:c>
      <x:c r="D590" t="str">
        <x:v>Italy</x:v>
      </x:c>
      <x:c r="E590" t="str">
        <x:v>Europe</x:v>
      </x:c>
      <x:c r="F590" t="str">
        <x:v>Office Supplies</x:v>
      </x:c>
      <x:c r="G590" t="str">
        <x:v>Pens</x:v>
      </x:c>
      <x:c r="H590" t="str">
        <x:v>Home Office</x:v>
      </x:c>
      <x:c r="I590" t="n">
        <x:v>57</x:v>
      </x:c>
      <x:c r="J590" s="10" t="n">
        <x:v>3585.02</x:v>
      </x:c>
      <x:c r="K590" s="10" t="n">
        <x:v>3166.75</x:v>
      </x:c>
      <x:c r="L590" s="10" t="n">
        <x:v>418.27</x:v>
      </x:c>
      <x:c r="M590" s="12" t="n">
        <x:v>0.11667042138154816</x:v>
      </x:c>
    </x:row>
    <x:row r="591">
      <x:c r="A591" t="str">
        <x:v>ORD-10590</x:v>
      </x:c>
      <x:c r="B591" s="8" t="n">
        <x:v>46072</x:v>
      </x:c>
      <x:c r="C591" t="n">
        <x:v>2026</x:v>
      </x:c>
      <x:c r="D591" t="str">
        <x:v>Italy</x:v>
      </x:c>
      <x:c r="E591" t="str">
        <x:v>Europe</x:v>
      </x:c>
      <x:c r="F591" t="str">
        <x:v>Office Supplies</x:v>
      </x:c>
      <x:c r="G591" t="str">
        <x:v>Binders</x:v>
      </x:c>
      <x:c r="H591" t="str">
        <x:v>Corporate</x:v>
      </x:c>
      <x:c r="I591" t="n">
        <x:v>115</x:v>
      </x:c>
      <x:c r="J591" s="10" t="n">
        <x:v>8115.61</x:v>
      </x:c>
      <x:c r="K591" s="10" t="n">
        <x:v>7023.23</x:v>
      </x:c>
      <x:c r="L591" s="10" t="n">
        <x:v>1092.38</x:v>
      </x:c>
      <x:c r="M591" s="12" t="n">
        <x:v>0.1346018915717834</x:v>
      </x:c>
    </x:row>
    <x:row r="592">
      <x:c r="A592" t="str">
        <x:v>ORD-10591</x:v>
      </x:c>
      <x:c r="B592" s="8" t="n">
        <x:v>46100</x:v>
      </x:c>
      <x:c r="C592" t="n">
        <x:v>2026</x:v>
      </x:c>
      <x:c r="D592" t="str">
        <x:v>Italy</x:v>
      </x:c>
      <x:c r="E592" t="str">
        <x:v>Europe</x:v>
      </x:c>
      <x:c r="F592" t="str">
        <x:v>Furniture</x:v>
      </x:c>
      <x:c r="G592" t="str">
        <x:v>Storage Cabinet</x:v>
      </x:c>
      <x:c r="H592" t="str">
        <x:v>Consumer</x:v>
      </x:c>
      <x:c r="I592" t="n">
        <x:v>75</x:v>
      </x:c>
      <x:c r="J592" s="10" t="n">
        <x:v>11194.22</x:v>
      </x:c>
      <x:c r="K592" s="10" t="n">
        <x:v>8886.78</x:v>
      </x:c>
      <x:c r="L592" s="10" t="n">
        <x:v>2307.44</x:v>
      </x:c>
      <x:c r="M592" s="12" t="n">
        <x:v>0.2061276092382443</x:v>
      </x:c>
    </x:row>
    <x:row r="593">
      <x:c r="A593" t="str">
        <x:v>ORD-10592</x:v>
      </x:c>
      <x:c r="B593" s="8" t="n">
        <x:v>46125</x:v>
      </x:c>
      <x:c r="C593" t="n">
        <x:v>2026</x:v>
      </x:c>
      <x:c r="D593" t="str">
        <x:v>Italy</x:v>
      </x:c>
      <x:c r="E593" t="str">
        <x:v>Europe</x:v>
      </x:c>
      <x:c r="F593" t="str">
        <x:v>Office Supplies</x:v>
      </x:c>
      <x:c r="G593" t="str">
        <x:v>Printer Paper</x:v>
      </x:c>
      <x:c r="H593" t="str">
        <x:v>Corporate</x:v>
      </x:c>
      <x:c r="I593" t="n">
        <x:v>39</x:v>
      </x:c>
      <x:c r="J593" s="10" t="n">
        <x:v>2254.61</x:v>
      </x:c>
      <x:c r="K593" s="10" t="n">
        <x:v>1816.99</x:v>
      </x:c>
      <x:c r="L593" s="10" t="n">
        <x:v>437.62</x:v>
      </x:c>
      <x:c r="M593" s="12" t="n">
        <x:v>0.19409973056378757</x:v>
      </x:c>
    </x:row>
    <x:row r="594">
      <x:c r="A594" t="str">
        <x:v>ORD-10593</x:v>
      </x:c>
      <x:c r="B594" s="8" t="n">
        <x:v>46149</x:v>
      </x:c>
      <x:c r="C594" t="n">
        <x:v>2026</x:v>
      </x:c>
      <x:c r="D594" t="str">
        <x:v>Italy</x:v>
      </x:c>
      <x:c r="E594" t="str">
        <x:v>Europe</x:v>
      </x:c>
      <x:c r="F594" t="str">
        <x:v>Office Supplies</x:v>
      </x:c>
      <x:c r="G594" t="str">
        <x:v>Binders</x:v>
      </x:c>
      <x:c r="H594" t="str">
        <x:v>Corporate</x:v>
      </x:c>
      <x:c r="I594" t="n">
        <x:v>21</x:v>
      </x:c>
      <x:c r="J594" s="10" t="n">
        <x:v>1470.89</x:v>
      </x:c>
      <x:c r="K594" s="10" t="n">
        <x:v>1311.89</x:v>
      </x:c>
      <x:c r="L594" s="10" t="n">
        <x:v>158.99</x:v>
      </x:c>
      <x:c r="M594" s="12" t="n">
        <x:v>0.10809341413143148</x:v>
      </x:c>
    </x:row>
    <x:row r="595">
      <x:c r="A595" t="str">
        <x:v>ORD-10594</x:v>
      </x:c>
      <x:c r="B595" s="8" t="n">
        <x:v>46179</x:v>
      </x:c>
      <x:c r="C595" t="n">
        <x:v>2026</x:v>
      </x:c>
      <x:c r="D595" t="str">
        <x:v>Italy</x:v>
      </x:c>
      <x:c r="E595" t="str">
        <x:v>Europe</x:v>
      </x:c>
      <x:c r="F595" t="str">
        <x:v>Furniture</x:v>
      </x:c>
      <x:c r="G595" t="str">
        <x:v>Storage Cabinet</x:v>
      </x:c>
      <x:c r="H595" t="str">
        <x:v>Home Office</x:v>
      </x:c>
      <x:c r="I595" t="n">
        <x:v>73</x:v>
      </x:c>
      <x:c r="J595" s="10" t="n">
        <x:v>11644.12</x:v>
      </x:c>
      <x:c r="K595" s="10" t="n">
        <x:v>8925.36</x:v>
      </x:c>
      <x:c r="L595" s="10" t="n">
        <x:v>2718.75</x:v>
      </x:c>
      <x:c r="M595" s="12" t="n">
        <x:v>0.2334872732004539</x:v>
      </x:c>
    </x:row>
    <x:row r="596">
      <x:c r="A596" t="str">
        <x:v>ORD-10595</x:v>
      </x:c>
      <x:c r="B596" s="8" t="n">
        <x:v>46205</x:v>
      </x:c>
      <x:c r="C596" t="n">
        <x:v>2026</x:v>
      </x:c>
      <x:c r="D596" t="str">
        <x:v>Italy</x:v>
      </x:c>
      <x:c r="E596" t="str">
        <x:v>Europe</x:v>
      </x:c>
      <x:c r="F596" t="str">
        <x:v>Technology</x:v>
      </x:c>
      <x:c r="G596" t="str">
        <x:v>Headphones</x:v>
      </x:c>
      <x:c r="H596" t="str">
        <x:v>Corporate</x:v>
      </x:c>
      <x:c r="I596" t="n">
        <x:v>95</x:v>
      </x:c>
      <x:c r="J596" s="10" t="n">
        <x:v>39296.91</x:v>
      </x:c>
      <x:c r="K596" s="10" t="n">
        <x:v>30352.55</x:v>
      </x:c>
      <x:c r="L596" s="10" t="n">
        <x:v>8944.36</x:v>
      </x:c>
      <x:c r="M596" s="12" t="n">
        <x:v>0.22760968861088066</x:v>
      </x:c>
    </x:row>
    <x:row r="597">
      <x:c r="A597" t="str">
        <x:v>ORD-10596</x:v>
      </x:c>
      <x:c r="B597" s="8" t="n">
        <x:v>46259</x:v>
      </x:c>
      <x:c r="C597" t="n">
        <x:v>2026</x:v>
      </x:c>
      <x:c r="D597" t="str">
        <x:v>Italy</x:v>
      </x:c>
      <x:c r="E597" t="str">
        <x:v>Europe</x:v>
      </x:c>
      <x:c r="F597" t="str">
        <x:v>Technology</x:v>
      </x:c>
      <x:c r="G597" t="str">
        <x:v>Headphones</x:v>
      </x:c>
      <x:c r="H597" t="str">
        <x:v>Corporate</x:v>
      </x:c>
      <x:c r="I597" t="n">
        <x:v>41</x:v>
      </x:c>
      <x:c r="J597" s="10" t="n">
        <x:v>15250.23</x:v>
      </x:c>
      <x:c r="K597" s="10" t="n">
        <x:v>12044.13</x:v>
      </x:c>
      <x:c r="L597" s="10" t="n">
        <x:v>3206.1</x:v>
      </x:c>
      <x:c r="M597" s="12" t="n">
        <x:v>0.21023269078994894</x:v>
      </x:c>
    </x:row>
    <x:row r="598">
      <x:c r="A598" t="str">
        <x:v>ORD-10597</x:v>
      </x:c>
      <x:c r="B598" s="8" t="n">
        <x:v>46278</x:v>
      </x:c>
      <x:c r="C598" t="n">
        <x:v>2026</x:v>
      </x:c>
      <x:c r="D598" t="str">
        <x:v>Italy</x:v>
      </x:c>
      <x:c r="E598" t="str">
        <x:v>Europe</x:v>
      </x:c>
      <x:c r="F598" t="str">
        <x:v>Technology</x:v>
      </x:c>
      <x:c r="G598" t="str">
        <x:v>Headphones</x:v>
      </x:c>
      <x:c r="H598" t="str">
        <x:v>Consumer</x:v>
      </x:c>
      <x:c r="I598" t="n">
        <x:v>31</x:v>
      </x:c>
      <x:c r="J598" s="10" t="n">
        <x:v>10689.51</x:v>
      </x:c>
      <x:c r="K598" s="10" t="n">
        <x:v>7845.91</x:v>
      </x:c>
      <x:c r="L598" s="10" t="n">
        <x:v>2843.61</x:v>
      </x:c>
      <x:c r="M598" s="12" t="n">
        <x:v>0.26601850488431134</x:v>
      </x:c>
    </x:row>
    <x:row r="599">
      <x:c r="A599" t="str">
        <x:v>ORD-10598</x:v>
      </x:c>
      <x:c r="B599" s="8" t="n">
        <x:v>46307</x:v>
      </x:c>
      <x:c r="C599" t="n">
        <x:v>2026</x:v>
      </x:c>
      <x:c r="D599" t="str">
        <x:v>Italy</x:v>
      </x:c>
      <x:c r="E599" t="str">
        <x:v>Europe</x:v>
      </x:c>
      <x:c r="F599" t="str">
        <x:v>Furniture</x:v>
      </x:c>
      <x:c r="G599" t="str">
        <x:v>Storage Cabinet</x:v>
      </x:c>
      <x:c r="H599" t="str">
        <x:v>Corporate</x:v>
      </x:c>
      <x:c r="I599" t="n">
        <x:v>15</x:v>
      </x:c>
      <x:c r="J599" s="10" t="n">
        <x:v>2211.45</x:v>
      </x:c>
      <x:c r="K599" s="10" t="n">
        <x:v>1871.04</x:v>
      </x:c>
      <x:c r="L599" s="10" t="n">
        <x:v>340.41</x:v>
      </x:c>
      <x:c r="M599" s="12" t="n">
        <x:v>0.153929710147374</x:v>
      </x:c>
    </x:row>
    <x:row r="600">
      <x:c r="A600" t="str">
        <x:v>ORD-10599</x:v>
      </x:c>
      <x:c r="B600" s="8" t="n">
        <x:v>46350</x:v>
      </x:c>
      <x:c r="C600" t="n">
        <x:v>2026</x:v>
      </x:c>
      <x:c r="D600" t="str">
        <x:v>Italy</x:v>
      </x:c>
      <x:c r="E600" t="str">
        <x:v>Europe</x:v>
      </x:c>
      <x:c r="F600" t="str">
        <x:v>Technology</x:v>
      </x:c>
      <x:c r="G600" t="str">
        <x:v>Monitor</x:v>
      </x:c>
      <x:c r="H600" t="str">
        <x:v>Home Office</x:v>
      </x:c>
      <x:c r="I600" t="n">
        <x:v>39</x:v>
      </x:c>
      <x:c r="J600" s="10" t="n">
        <x:v>9145.21</x:v>
      </x:c>
      <x:c r="K600" s="10" t="n">
        <x:v>7403.1</x:v>
      </x:c>
      <x:c r="L600" s="10" t="n">
        <x:v>1742.12</x:v>
      </x:c>
      <x:c r="M600" s="12" t="n">
        <x:v>0.19049486007692243</x:v>
      </x:c>
    </x:row>
    <x:row r="601">
      <x:c r="A601" t="str">
        <x:v>ORD-10600</x:v>
      </x:c>
      <x:c r="B601" s="8" t="n">
        <x:v>46373</x:v>
      </x:c>
      <x:c r="C601" t="n">
        <x:v>2026</x:v>
      </x:c>
      <x:c r="D601" t="str">
        <x:v>Italy</x:v>
      </x:c>
      <x:c r="E601" t="str">
        <x:v>Europe</x:v>
      </x:c>
      <x:c r="F601" t="str">
        <x:v>Technology</x:v>
      </x:c>
      <x:c r="G601" t="str">
        <x:v>Smartphone</x:v>
      </x:c>
      <x:c r="H601" t="str">
        <x:v>Home Office</x:v>
      </x:c>
      <x:c r="I601" t="n">
        <x:v>59</x:v>
      </x:c>
      <x:c r="J601" s="10" t="n">
        <x:v>17045.01</x:v>
      </x:c>
      <x:c r="K601" s="10" t="n">
        <x:v>13596.38</x:v>
      </x:c>
      <x:c r="L601" s="10" t="n">
        <x:v>3448.63</x:v>
      </x:c>
      <x:c r="M601" s="12" t="n">
        <x:v>0.2023249868007455</x:v>
      </x:c>
    </x:row>
    <x:row r="602">
      <x:c r="A602" t="str">
        <x:v>ORD-10601</x:v>
      </x:c>
      <x:c r="B602" s="8" t="n">
        <x:v>46032</x:v>
      </x:c>
      <x:c r="C602" t="n">
        <x:v>2026</x:v>
      </x:c>
      <x:c r="D602" t="str">
        <x:v>India</x:v>
      </x:c>
      <x:c r="E602" t="str">
        <x:v>Asia</x:v>
      </x:c>
      <x:c r="F602" t="str">
        <x:v>Office Supplies</x:v>
      </x:c>
      <x:c r="G602" t="str">
        <x:v>Binders</x:v>
      </x:c>
      <x:c r="H602" t="str">
        <x:v>Consumer</x:v>
      </x:c>
      <x:c r="I602" t="n">
        <x:v>23</x:v>
      </x:c>
      <x:c r="J602" s="10" t="n">
        <x:v>4620.49</x:v>
      </x:c>
      <x:c r="K602" s="10" t="n">
        <x:v>3854.48</x:v>
      </x:c>
      <x:c r="L602" s="10" t="n">
        <x:v>766</x:v>
      </x:c>
      <x:c r="M602" s="12" t="n">
        <x:v>0.1657842704192967</x:v>
      </x:c>
    </x:row>
    <x:row r="603">
      <x:c r="A603" t="str">
        <x:v>ORD-10602</x:v>
      </x:c>
      <x:c r="B603" s="8" t="n">
        <x:v>46069</x:v>
      </x:c>
      <x:c r="C603" t="n">
        <x:v>2026</x:v>
      </x:c>
      <x:c r="D603" t="str">
        <x:v>India</x:v>
      </x:c>
      <x:c r="E603" t="str">
        <x:v>Asia</x:v>
      </x:c>
      <x:c r="F603" t="str">
        <x:v>Furniture</x:v>
      </x:c>
      <x:c r="G603" t="str">
        <x:v>Bookshelf</x:v>
      </x:c>
      <x:c r="H603" t="str">
        <x:v>Corporate</x:v>
      </x:c>
      <x:c r="I603" t="n">
        <x:v>102</x:v>
      </x:c>
      <x:c r="J603" s="10" t="n">
        <x:v>76913.73</x:v>
      </x:c>
      <x:c r="K603" s="10" t="n">
        <x:v>60675.1</x:v>
      </x:c>
      <x:c r="L603" s="10" t="n">
        <x:v>16238.64</x:v>
      </x:c>
      <x:c r="M603" s="12" t="n">
        <x:v>0.2111279407109073</x:v>
      </x:c>
    </x:row>
    <x:row r="604">
      <x:c r="A604" t="str">
        <x:v>ORD-10603</x:v>
      </x:c>
      <x:c r="B604" s="8" t="n">
        <x:v>46105</x:v>
      </x:c>
      <x:c r="C604" t="n">
        <x:v>2026</x:v>
      </x:c>
      <x:c r="D604" t="str">
        <x:v>India</x:v>
      </x:c>
      <x:c r="E604" t="str">
        <x:v>Asia</x:v>
      </x:c>
      <x:c r="F604" t="str">
        <x:v>Furniture</x:v>
      </x:c>
      <x:c r="G604" t="str">
        <x:v>Desk</x:v>
      </x:c>
      <x:c r="H604" t="str">
        <x:v>Consumer</x:v>
      </x:c>
      <x:c r="I604" t="n">
        <x:v>118</x:v>
      </x:c>
      <x:c r="J604" s="10" t="n">
        <x:v>65516.96</x:v>
      </x:c>
      <x:c r="K604" s="10" t="n">
        <x:v>52583.25</x:v>
      </x:c>
      <x:c r="L604" s="10" t="n">
        <x:v>12933.72</x:v>
      </x:c>
      <x:c r="M604" s="12" t="n">
        <x:v>0.197410194180299</x:v>
      </x:c>
    </x:row>
    <x:row r="605">
      <x:c r="A605" t="str">
        <x:v>ORD-10604</x:v>
      </x:c>
      <x:c r="B605" s="8" t="n">
        <x:v>46124</x:v>
      </x:c>
      <x:c r="C605" t="n">
        <x:v>2026</x:v>
      </x:c>
      <x:c r="D605" t="str">
        <x:v>India</x:v>
      </x:c>
      <x:c r="E605" t="str">
        <x:v>Asia</x:v>
      </x:c>
      <x:c r="F605" t="str">
        <x:v>Technology</x:v>
      </x:c>
      <x:c r="G605" t="str">
        <x:v>Smartphone</x:v>
      </x:c>
      <x:c r="H605" t="str">
        <x:v>Home Office</x:v>
      </x:c>
      <x:c r="I605" t="n">
        <x:v>17</x:v>
      </x:c>
      <x:c r="J605" s="10" t="n">
        <x:v>16965.48</x:v>
      </x:c>
      <x:c r="K605" s="10" t="n">
        <x:v>12719.39</x:v>
      </x:c>
      <x:c r="L605" s="10" t="n">
        <x:v>4246.09</x:v>
      </x:c>
      <x:c r="M605" s="12" t="n">
        <x:v>0.2502781690268176</x:v>
      </x:c>
    </x:row>
    <x:row r="606">
      <x:c r="A606" t="str">
        <x:v>ORD-10605</x:v>
      </x:c>
      <x:c r="B606" s="8" t="n">
        <x:v>46144</x:v>
      </x:c>
      <x:c r="C606" t="n">
        <x:v>2026</x:v>
      </x:c>
      <x:c r="D606" t="str">
        <x:v>India</x:v>
      </x:c>
      <x:c r="E606" t="str">
        <x:v>Asia</x:v>
      </x:c>
      <x:c r="F606" t="str">
        <x:v>Office Supplies</x:v>
      </x:c>
      <x:c r="G606" t="str">
        <x:v>Printer Paper</x:v>
      </x:c>
      <x:c r="H606" t="str">
        <x:v>Corporate</x:v>
      </x:c>
      <x:c r="I606" t="n">
        <x:v>96</x:v>
      </x:c>
      <x:c r="J606" s="10" t="n">
        <x:v>14002.94</x:v>
      </x:c>
      <x:c r="K606" s="10" t="n">
        <x:v>11284.02</x:v>
      </x:c>
      <x:c r="L606" s="10" t="n">
        <x:v>2718.92</x:v>
      </x:c>
      <x:c r="M606" s="12" t="n">
        <x:v>0.1941680121032608</x:v>
      </x:c>
    </x:row>
    <x:row r="607">
      <x:c r="A607" t="str">
        <x:v>ORD-10606</x:v>
      </x:c>
      <x:c r="B607" s="8" t="n">
        <x:v>46196</x:v>
      </x:c>
      <x:c r="C607" t="n">
        <x:v>2026</x:v>
      </x:c>
      <x:c r="D607" t="str">
        <x:v>India</x:v>
      </x:c>
      <x:c r="E607" t="str">
        <x:v>Asia</x:v>
      </x:c>
      <x:c r="F607" t="str">
        <x:v>Office Supplies</x:v>
      </x:c>
      <x:c r="G607" t="str">
        <x:v>Printer Paper</x:v>
      </x:c>
      <x:c r="H607" t="str">
        <x:v>Home Office</x:v>
      </x:c>
      <x:c r="I607" t="n">
        <x:v>28</x:v>
      </x:c>
      <x:c r="J607" s="10" t="n">
        <x:v>5163.1</x:v>
      </x:c>
      <x:c r="K607" s="10" t="n">
        <x:v>4479.66</x:v>
      </x:c>
      <x:c r="L607" s="10" t="n">
        <x:v>683.43</x:v>
      </x:c>
      <x:c r="M607" s="12" t="n">
        <x:v>0.13236901198169734</x:v>
      </x:c>
    </x:row>
    <x:row r="608">
      <x:c r="A608" t="str">
        <x:v>ORD-10607</x:v>
      </x:c>
      <x:c r="B608" s="8" t="n">
        <x:v>46226</x:v>
      </x:c>
      <x:c r="C608" t="n">
        <x:v>2026</x:v>
      </x:c>
      <x:c r="D608" t="str">
        <x:v>India</x:v>
      </x:c>
      <x:c r="E608" t="str">
        <x:v>Asia</x:v>
      </x:c>
      <x:c r="F608" t="str">
        <x:v>Technology</x:v>
      </x:c>
      <x:c r="G608" t="str">
        <x:v>Headphones</x:v>
      </x:c>
      <x:c r="H608" t="str">
        <x:v>Corporate</x:v>
      </x:c>
      <x:c r="I608" t="n">
        <x:v>63</x:v>
      </x:c>
      <x:c r="J608" s="10" t="n">
        <x:v>46943.04</x:v>
      </x:c>
      <x:c r="K608" s="10" t="n">
        <x:v>34722.42</x:v>
      </x:c>
      <x:c r="L608" s="10" t="n">
        <x:v>12220.62</x:v>
      </x:c>
      <x:c r="M608" s="12" t="n">
        <x:v>0.26032859516834883</x:v>
      </x:c>
    </x:row>
    <x:row r="609">
      <x:c r="A609" t="str">
        <x:v>ORD-10608</x:v>
      </x:c>
      <x:c r="B609" s="8" t="n">
        <x:v>46256</x:v>
      </x:c>
      <x:c r="C609" t="n">
        <x:v>2026</x:v>
      </x:c>
      <x:c r="D609" t="str">
        <x:v>India</x:v>
      </x:c>
      <x:c r="E609" t="str">
        <x:v>Asia</x:v>
      </x:c>
      <x:c r="F609" t="str">
        <x:v>Technology</x:v>
      </x:c>
      <x:c r="G609" t="str">
        <x:v>Smartphone</x:v>
      </x:c>
      <x:c r="H609" t="str">
        <x:v>Home Office</x:v>
      </x:c>
      <x:c r="I609" t="n">
        <x:v>102</x:v>
      </x:c>
      <x:c r="J609" s="10" t="n">
        <x:v>104040.37</x:v>
      </x:c>
      <x:c r="K609" s="10" t="n">
        <x:v>76351.69</x:v>
      </x:c>
      <x:c r="L609" s="10" t="n">
        <x:v>27688.68</x:v>
      </x:c>
      <x:c r="M609" s="12" t="n">
        <x:v>0.26613397457081506</x:v>
      </x:c>
    </x:row>
    <x:row r="610">
      <x:c r="A610" t="str">
        <x:v>ORD-10609</x:v>
      </x:c>
      <x:c r="B610" s="8" t="n">
        <x:v>46269</x:v>
      </x:c>
      <x:c r="C610" t="n">
        <x:v>2026</x:v>
      </x:c>
      <x:c r="D610" t="str">
        <x:v>India</x:v>
      </x:c>
      <x:c r="E610" t="str">
        <x:v>Asia</x:v>
      </x:c>
      <x:c r="F610" t="str">
        <x:v>Technology</x:v>
      </x:c>
      <x:c r="G610" t="str">
        <x:v>Monitor</x:v>
      </x:c>
      <x:c r="H610" t="str">
        <x:v>Home Office</x:v>
      </x:c>
      <x:c r="I610" t="n">
        <x:v>92</x:v>
      </x:c>
      <x:c r="J610" s="10" t="n">
        <x:v>97354.52</x:v>
      </x:c>
      <x:c r="K610" s="10" t="n">
        <x:v>70070.03</x:v>
      </x:c>
      <x:c r="L610" s="10" t="n">
        <x:v>27284.49</x:v>
      </x:c>
      <x:c r="M610" s="12" t="n">
        <x:v>0.28025909021257106</x:v>
      </x:c>
    </x:row>
    <x:row r="611">
      <x:c r="A611" t="str">
        <x:v>ORD-10610</x:v>
      </x:c>
      <x:c r="B611" s="8" t="n">
        <x:v>46315</x:v>
      </x:c>
      <x:c r="C611" t="n">
        <x:v>2026</x:v>
      </x:c>
      <x:c r="D611" t="str">
        <x:v>India</x:v>
      </x:c>
      <x:c r="E611" t="str">
        <x:v>Asia</x:v>
      </x:c>
      <x:c r="F611" t="str">
        <x:v>Office Supplies</x:v>
      </x:c>
      <x:c r="G611" t="str">
        <x:v>Printer Paper</x:v>
      </x:c>
      <x:c r="H611" t="str">
        <x:v>Corporate</x:v>
      </x:c>
      <x:c r="I611" t="n">
        <x:v>29</x:v>
      </x:c>
      <x:c r="J611" s="10" t="n">
        <x:v>5716.04</x:v>
      </x:c>
      <x:c r="K611" s="10" t="n">
        <x:v>4631.54</x:v>
      </x:c>
      <x:c r="L611" s="10" t="n">
        <x:v>1084.5</x:v>
      </x:c>
      <x:c r="M611" s="12" t="n">
        <x:v>0.18972868758319014</x:v>
      </x:c>
    </x:row>
    <x:row r="612">
      <x:c r="A612" t="str">
        <x:v>ORD-10611</x:v>
      </x:c>
      <x:c r="B612" s="8" t="n">
        <x:v>46332</x:v>
      </x:c>
      <x:c r="C612" t="n">
        <x:v>2026</x:v>
      </x:c>
      <x:c r="D612" t="str">
        <x:v>India</x:v>
      </x:c>
      <x:c r="E612" t="str">
        <x:v>Asia</x:v>
      </x:c>
      <x:c r="F612" t="str">
        <x:v>Technology</x:v>
      </x:c>
      <x:c r="G612" t="str">
        <x:v>Monitor</x:v>
      </x:c>
      <x:c r="H612" t="str">
        <x:v>Home Office</x:v>
      </x:c>
      <x:c r="I612" t="n">
        <x:v>40</x:v>
      </x:c>
      <x:c r="J612" s="10" t="n">
        <x:v>34889.67</x:v>
      </x:c>
      <x:c r="K612" s="10" t="n">
        <x:v>25149.5</x:v>
      </x:c>
      <x:c r="L612" s="10" t="n">
        <x:v>9740.18</x:v>
      </x:c>
      <x:c r="M612" s="12" t="n">
        <x:v>0.27917074766339467</x:v>
      </x:c>
    </x:row>
    <x:row r="613">
      <x:c r="A613" t="str">
        <x:v>ORD-10612</x:v>
      </x:c>
      <x:c r="B613" s="8" t="n">
        <x:v>46357</x:v>
      </x:c>
      <x:c r="C613" t="n">
        <x:v>2026</x:v>
      </x:c>
      <x:c r="D613" t="str">
        <x:v>India</x:v>
      </x:c>
      <x:c r="E613" t="str">
        <x:v>Asia</x:v>
      </x:c>
      <x:c r="F613" t="str">
        <x:v>Technology</x:v>
      </x:c>
      <x:c r="G613" t="str">
        <x:v>Headphones</x:v>
      </x:c>
      <x:c r="H613" t="str">
        <x:v>Consumer</x:v>
      </x:c>
      <x:c r="I613" t="n">
        <x:v>103</x:v>
      </x:c>
      <x:c r="J613" s="10" t="n">
        <x:v>121979.72</x:v>
      </x:c>
      <x:c r="K613" s="10" t="n">
        <x:v>89085.15</x:v>
      </x:c>
      <x:c r="L613" s="10" t="n">
        <x:v>32894.57</x:v>
      </x:c>
      <x:c r="M613" s="12" t="n">
        <x:v>0.269672433943604</x:v>
      </x:c>
    </x:row>
    <x:row r="614">
      <x:c r="A614" t="str">
        <x:v>ORD-10613</x:v>
      </x:c>
      <x:c r="B614" s="8" t="n">
        <x:v>46025</x:v>
      </x:c>
      <x:c r="C614" t="n">
        <x:v>2026</x:v>
      </x:c>
      <x:c r="D614" t="str">
        <x:v>China</x:v>
      </x:c>
      <x:c r="E614" t="str">
        <x:v>Asia</x:v>
      </x:c>
      <x:c r="F614" t="str">
        <x:v>Technology</x:v>
      </x:c>
      <x:c r="G614" t="str">
        <x:v>Laptop</x:v>
      </x:c>
      <x:c r="H614" t="str">
        <x:v>Consumer</x:v>
      </x:c>
      <x:c r="I614" t="n">
        <x:v>88</x:v>
      </x:c>
      <x:c r="J614" s="10" t="n">
        <x:v>70840.8</x:v>
      </x:c>
      <x:c r="K614" s="10" t="n">
        <x:v>53279.56</x:v>
      </x:c>
      <x:c r="L614" s="10" t="n">
        <x:v>17561.25</x:v>
      </x:c>
      <x:c r="M614" s="12" t="n">
        <x:v>0.24789733912001194</x:v>
      </x:c>
    </x:row>
    <x:row r="615">
      <x:c r="A615" t="str">
        <x:v>ORD-10614</x:v>
      </x:c>
      <x:c r="B615" s="8" t="n">
        <x:v>46061</x:v>
      </x:c>
      <x:c r="C615" t="n">
        <x:v>2026</x:v>
      </x:c>
      <x:c r="D615" t="str">
        <x:v>China</x:v>
      </x:c>
      <x:c r="E615" t="str">
        <x:v>Asia</x:v>
      </x:c>
      <x:c r="F615" t="str">
        <x:v>Office Supplies</x:v>
      </x:c>
      <x:c r="G615" t="str">
        <x:v>Printer Paper</x:v>
      </x:c>
      <x:c r="H615" t="str">
        <x:v>Home Office</x:v>
      </x:c>
      <x:c r="I615" t="n">
        <x:v>107</x:v>
      </x:c>
      <x:c r="J615" s="10" t="n">
        <x:v>10830.92</x:v>
      </x:c>
      <x:c r="K615" s="10" t="n">
        <x:v>9090.31</x:v>
      </x:c>
      <x:c r="L615" s="10" t="n">
        <x:v>1740.61</x:v>
      </x:c>
      <x:c r="M615" s="12" t="n">
        <x:v>0.16070705233007979</x:v>
      </x:c>
    </x:row>
    <x:row r="616">
      <x:c r="A616" t="str">
        <x:v>ORD-10615</x:v>
      </x:c>
      <x:c r="B616" s="8" t="n">
        <x:v>46109</x:v>
      </x:c>
      <x:c r="C616" t="n">
        <x:v>2026</x:v>
      </x:c>
      <x:c r="D616" t="str">
        <x:v>China</x:v>
      </x:c>
      <x:c r="E616" t="str">
        <x:v>Asia</x:v>
      </x:c>
      <x:c r="F616" t="str">
        <x:v>Furniture</x:v>
      </x:c>
      <x:c r="G616" t="str">
        <x:v>Bookshelf</x:v>
      </x:c>
      <x:c r="H616" t="str">
        <x:v>Corporate</x:v>
      </x:c>
      <x:c r="I616" t="n">
        <x:v>74</x:v>
      </x:c>
      <x:c r="J616" s="10" t="n">
        <x:v>24983.13</x:v>
      </x:c>
      <x:c r="K616" s="10" t="n">
        <x:v>18298.11</x:v>
      </x:c>
      <x:c r="L616" s="10" t="n">
        <x:v>6685.02</x:v>
      </x:c>
      <x:c r="M616" s="12" t="n">
        <x:v>0.2675814096701458</x:v>
      </x:c>
    </x:row>
    <x:row r="617">
      <x:c r="A617" t="str">
        <x:v>ORD-10616</x:v>
      </x:c>
      <x:c r="B617" s="8" t="n">
        <x:v>46116</x:v>
      </x:c>
      <x:c r="C617" t="n">
        <x:v>2026</x:v>
      </x:c>
      <x:c r="D617" t="str">
        <x:v>China</x:v>
      </x:c>
      <x:c r="E617" t="str">
        <x:v>Asia</x:v>
      </x:c>
      <x:c r="F617" t="str">
        <x:v>Technology</x:v>
      </x:c>
      <x:c r="G617" t="str">
        <x:v>Monitor</x:v>
      </x:c>
      <x:c r="H617" t="str">
        <x:v>Corporate</x:v>
      </x:c>
      <x:c r="I617" t="n">
        <x:v>117</x:v>
      </x:c>
      <x:c r="J617" s="10" t="n">
        <x:v>94566.17</x:v>
      </x:c>
      <x:c r="K617" s="10" t="n">
        <x:v>67981.79</x:v>
      </x:c>
      <x:c r="L617" s="10" t="n">
        <x:v>26584.39</x:v>
      </x:c>
      <x:c r="M617" s="12" t="n">
        <x:v>0.2811194247649969</x:v>
      </x:c>
    </x:row>
    <x:row r="618">
      <x:c r="A618" t="str">
        <x:v>ORD-10617</x:v>
      </x:c>
      <x:c r="B618" s="8" t="n">
        <x:v>46154</x:v>
      </x:c>
      <x:c r="C618" t="n">
        <x:v>2026</x:v>
      </x:c>
      <x:c r="D618" t="str">
        <x:v>China</x:v>
      </x:c>
      <x:c r="E618" t="str">
        <x:v>Asia</x:v>
      </x:c>
      <x:c r="F618" t="str">
        <x:v>Technology</x:v>
      </x:c>
      <x:c r="G618" t="str">
        <x:v>Laptop</x:v>
      </x:c>
      <x:c r="H618" t="str">
        <x:v>Consumer</x:v>
      </x:c>
      <x:c r="I618" t="n">
        <x:v>32</x:v>
      </x:c>
      <x:c r="J618" s="10" t="n">
        <x:v>25684.22</x:v>
      </x:c>
      <x:c r="K618" s="10" t="n">
        <x:v>19251.31</x:v>
      </x:c>
      <x:c r="L618" s="10" t="n">
        <x:v>6432.91</x:v>
      </x:c>
      <x:c r="M618" s="12" t="n">
        <x:v>0.25046147316276507</x:v>
      </x:c>
    </x:row>
    <x:row r="619">
      <x:c r="A619" t="str">
        <x:v>ORD-10618</x:v>
      </x:c>
      <x:c r="B619" s="8" t="n">
        <x:v>46177</x:v>
      </x:c>
      <x:c r="C619" t="n">
        <x:v>2026</x:v>
      </x:c>
      <x:c r="D619" t="str">
        <x:v>China</x:v>
      </x:c>
      <x:c r="E619" t="str">
        <x:v>Asia</x:v>
      </x:c>
      <x:c r="F619" t="str">
        <x:v>Furniture</x:v>
      </x:c>
      <x:c r="G619" t="str">
        <x:v>Bookshelf</x:v>
      </x:c>
      <x:c r="H619" t="str">
        <x:v>Home Office</x:v>
      </x:c>
      <x:c r="I619" t="n">
        <x:v>26</x:v>
      </x:c>
      <x:c r="J619" s="10" t="n">
        <x:v>10955.59</x:v>
      </x:c>
      <x:c r="K619" s="10" t="n">
        <x:v>8642.57</x:v>
      </x:c>
      <x:c r="L619" s="10" t="n">
        <x:v>2313.02</x:v>
      </x:c>
      <x:c r="M619" s="12" t="n">
        <x:v>0.21112672673124325</x:v>
      </x:c>
    </x:row>
    <x:row r="620">
      <x:c r="A620" t="str">
        <x:v>ORD-10619</x:v>
      </x:c>
      <x:c r="B620" s="8" t="n">
        <x:v>46219</x:v>
      </x:c>
      <x:c r="C620" t="n">
        <x:v>2026</x:v>
      </x:c>
      <x:c r="D620" t="str">
        <x:v>China</x:v>
      </x:c>
      <x:c r="E620" t="str">
        <x:v>Asia</x:v>
      </x:c>
      <x:c r="F620" t="str">
        <x:v>Furniture</x:v>
      </x:c>
      <x:c r="G620" t="str">
        <x:v>Storage Cabinet</x:v>
      </x:c>
      <x:c r="H620" t="str">
        <x:v>Corporate</x:v>
      </x:c>
      <x:c r="I620" t="n">
        <x:v>49</x:v>
      </x:c>
      <x:c r="J620" s="10" t="n">
        <x:v>26539.61</x:v>
      </x:c>
      <x:c r="K620" s="10" t="n">
        <x:v>19830.71</x:v>
      </x:c>
      <x:c r="L620" s="10" t="n">
        <x:v>6708.9</x:v>
      </x:c>
      <x:c r="M620" s="12" t="n">
        <x:v>0.25278829173803774</x:v>
      </x:c>
    </x:row>
    <x:row r="621">
      <x:c r="A621" t="str">
        <x:v>ORD-10620</x:v>
      </x:c>
      <x:c r="B621" s="8" t="n">
        <x:v>46262</x:v>
      </x:c>
      <x:c r="C621" t="n">
        <x:v>2026</x:v>
      </x:c>
      <x:c r="D621" t="str">
        <x:v>China</x:v>
      </x:c>
      <x:c r="E621" t="str">
        <x:v>Asia</x:v>
      </x:c>
      <x:c r="F621" t="str">
        <x:v>Furniture</x:v>
      </x:c>
      <x:c r="G621" t="str">
        <x:v>Desk</x:v>
      </x:c>
      <x:c r="H621" t="str">
        <x:v>Consumer</x:v>
      </x:c>
      <x:c r="I621" t="n">
        <x:v>31</x:v>
      </x:c>
      <x:c r="J621" s="10" t="n">
        <x:v>15667.05</x:v>
      </x:c>
      <x:c r="K621" s="10" t="n">
        <x:v>12893.4</x:v>
      </x:c>
      <x:c r="L621" s="10" t="n">
        <x:v>2773.66</x:v>
      </x:c>
      <x:c r="M621" s="12" t="n">
        <x:v>0.17703756747982127</x:v>
      </x:c>
    </x:row>
    <x:row r="622">
      <x:c r="A622" t="str">
        <x:v>ORD-10621</x:v>
      </x:c>
      <x:c r="B622" s="8" t="n">
        <x:v>46280</x:v>
      </x:c>
      <x:c r="C622" t="n">
        <x:v>2026</x:v>
      </x:c>
      <x:c r="D622" t="str">
        <x:v>China</x:v>
      </x:c>
      <x:c r="E622" t="str">
        <x:v>Asia</x:v>
      </x:c>
      <x:c r="F622" t="str">
        <x:v>Technology</x:v>
      </x:c>
      <x:c r="G622" t="str">
        <x:v>Laptop</x:v>
      </x:c>
      <x:c r="H622" t="str">
        <x:v>Corporate</x:v>
      </x:c>
      <x:c r="I622" t="n">
        <x:v>90</x:v>
      </x:c>
      <x:c r="J622" s="10" t="n">
        <x:v>65415.47</x:v>
      </x:c>
      <x:c r="K622" s="10" t="n">
        <x:v>45903.79</x:v>
      </x:c>
      <x:c r="L622" s="10" t="n">
        <x:v>19511.68</x:v>
      </x:c>
      <x:c r="M622" s="12" t="n">
        <x:v>0.2982732117280899</x:v>
      </x:c>
    </x:row>
    <x:row r="623">
      <x:c r="A623" t="str">
        <x:v>ORD-10622</x:v>
      </x:c>
      <x:c r="B623" s="8" t="n">
        <x:v>46322</x:v>
      </x:c>
      <x:c r="C623" t="n">
        <x:v>2026</x:v>
      </x:c>
      <x:c r="D623" t="str">
        <x:v>China</x:v>
      </x:c>
      <x:c r="E623" t="str">
        <x:v>Asia</x:v>
      </x:c>
      <x:c r="F623" t="str">
        <x:v>Technology</x:v>
      </x:c>
      <x:c r="G623" t="str">
        <x:v>Headphones</x:v>
      </x:c>
      <x:c r="H623" t="str">
        <x:v>Corporate</x:v>
      </x:c>
      <x:c r="I623" t="n">
        <x:v>93</x:v>
      </x:c>
      <x:c r="J623" s="10" t="n">
        <x:v>49889.82</x:v>
      </x:c>
      <x:c r="K623" s="10" t="n">
        <x:v>34317.43</x:v>
      </x:c>
      <x:c r="L623" s="10" t="n">
        <x:v>15572.39</x:v>
      </x:c>
      <x:c r="M623" s="12" t="n">
        <x:v>0.3121356960057768</x:v>
      </x:c>
    </x:row>
    <x:row r="624">
      <x:c r="A624" t="str">
        <x:v>ORD-10623</x:v>
      </x:c>
      <x:c r="B624" s="8" t="n">
        <x:v>46328</x:v>
      </x:c>
      <x:c r="C624" t="n">
        <x:v>2026</x:v>
      </x:c>
      <x:c r="D624" t="str">
        <x:v>China</x:v>
      </x:c>
      <x:c r="E624" t="str">
        <x:v>Asia</x:v>
      </x:c>
      <x:c r="F624" t="str">
        <x:v>Office Supplies</x:v>
      </x:c>
      <x:c r="G624" t="str">
        <x:v>Pens</x:v>
      </x:c>
      <x:c r="H624" t="str">
        <x:v>Corporate</x:v>
      </x:c>
      <x:c r="I624" t="n">
        <x:v>77</x:v>
      </x:c>
      <x:c r="J624" s="10" t="n">
        <x:v>7861.39</x:v>
      </x:c>
      <x:c r="K624" s="10" t="n">
        <x:v>6451.42</x:v>
      </x:c>
      <x:c r="L624" s="10" t="n">
        <x:v>1409.97</x:v>
      </x:c>
      <x:c r="M624" s="12" t="n">
        <x:v>0.17935411164822085</x:v>
      </x:c>
    </x:row>
    <x:row r="625">
      <x:c r="A625" t="str">
        <x:v>ORD-10624</x:v>
      </x:c>
      <x:c r="B625" s="8" t="n">
        <x:v>46373</x:v>
      </x:c>
      <x:c r="C625" t="n">
        <x:v>2026</x:v>
      </x:c>
      <x:c r="D625" t="str">
        <x:v>China</x:v>
      </x:c>
      <x:c r="E625" t="str">
        <x:v>Asia</x:v>
      </x:c>
      <x:c r="F625" t="str">
        <x:v>Technology</x:v>
      </x:c>
      <x:c r="G625" t="str">
        <x:v>Monitor</x:v>
      </x:c>
      <x:c r="H625" t="str">
        <x:v>Home Office</x:v>
      </x:c>
      <x:c r="I625" t="n">
        <x:v>55</x:v>
      </x:c>
      <x:c r="J625" s="10" t="n">
        <x:v>29125.06</x:v>
      </x:c>
      <x:c r="K625" s="10" t="n">
        <x:v>19391.47</x:v>
      </x:c>
      <x:c r="L625" s="10" t="n">
        <x:v>9733.59</x:v>
      </x:c>
      <x:c r="M625" s="12" t="n">
        <x:v>0.3341998726230224</x:v>
      </x:c>
    </x:row>
    <x:row r="626">
      <x:c r="A626" t="str">
        <x:v>ORD-10625</x:v>
      </x:c>
      <x:c r="B626" s="8" t="n">
        <x:v>46042</x:v>
      </x:c>
      <x:c r="C626" t="n">
        <x:v>2026</x:v>
      </x:c>
      <x:c r="D626" t="str">
        <x:v>Japan</x:v>
      </x:c>
      <x:c r="E626" t="str">
        <x:v>Asia</x:v>
      </x:c>
      <x:c r="F626" t="str">
        <x:v>Office Supplies</x:v>
      </x:c>
      <x:c r="G626" t="str">
        <x:v>Pens</x:v>
      </x:c>
      <x:c r="H626" t="str">
        <x:v>Home Office</x:v>
      </x:c>
      <x:c r="I626" t="n">
        <x:v>58</x:v>
      </x:c>
      <x:c r="J626" s="10" t="n">
        <x:v>5416.68</x:v>
      </x:c>
      <x:c r="K626" s="10" t="n">
        <x:v>4265.16</x:v>
      </x:c>
      <x:c r="L626" s="10" t="n">
        <x:v>1151.53</x:v>
      </x:c>
      <x:c r="M626" s="12" t="n">
        <x:v>0.2125889972155512</x:v>
      </x:c>
    </x:row>
    <x:row r="627">
      <x:c r="A627" t="str">
        <x:v>ORD-10626</x:v>
      </x:c>
      <x:c r="B627" s="8" t="n">
        <x:v>46075</x:v>
      </x:c>
      <x:c r="C627" t="n">
        <x:v>2026</x:v>
      </x:c>
      <x:c r="D627" t="str">
        <x:v>Japan</x:v>
      </x:c>
      <x:c r="E627" t="str">
        <x:v>Asia</x:v>
      </x:c>
      <x:c r="F627" t="str">
        <x:v>Technology</x:v>
      </x:c>
      <x:c r="G627" t="str">
        <x:v>Headphones</x:v>
      </x:c>
      <x:c r="H627" t="str">
        <x:v>Home Office</x:v>
      </x:c>
      <x:c r="I627" t="n">
        <x:v>108</x:v>
      </x:c>
      <x:c r="J627" s="10" t="n">
        <x:v>47845.81</x:v>
      </x:c>
      <x:c r="K627" s="10" t="n">
        <x:v>34856.16</x:v>
      </x:c>
      <x:c r="L627" s="10" t="n">
        <x:v>12989.66</x:v>
      </x:c>
      <x:c r="M627" s="12" t="n">
        <x:v>0.27148993849490044</x:v>
      </x:c>
    </x:row>
    <x:row r="628">
      <x:c r="A628" t="str">
        <x:v>ORD-10627</x:v>
      </x:c>
      <x:c r="B628" s="8" t="n">
        <x:v>46083</x:v>
      </x:c>
      <x:c r="C628" t="n">
        <x:v>2026</x:v>
      </x:c>
      <x:c r="D628" t="str">
        <x:v>Japan</x:v>
      </x:c>
      <x:c r="E628" t="str">
        <x:v>Asia</x:v>
      </x:c>
      <x:c r="F628" t="str">
        <x:v>Office Supplies</x:v>
      </x:c>
      <x:c r="G628" t="str">
        <x:v>Desk Organizer</x:v>
      </x:c>
      <x:c r="H628" t="str">
        <x:v>Consumer</x:v>
      </x:c>
      <x:c r="I628" t="n">
        <x:v>120</x:v>
      </x:c>
      <x:c r="J628" s="10" t="n">
        <x:v>11455.54</x:v>
      </x:c>
      <x:c r="K628" s="10" t="n">
        <x:v>8608.44</x:v>
      </x:c>
      <x:c r="L628" s="10" t="n">
        <x:v>2847.1</x:v>
      </x:c>
      <x:c r="M628" s="12" t="n">
        <x:v>0.24853499497137738</x:v>
      </x:c>
    </x:row>
    <x:row r="629">
      <x:c r="A629" t="str">
        <x:v>ORD-10628</x:v>
      </x:c>
      <x:c r="B629" s="8" t="n">
        <x:v>46115</x:v>
      </x:c>
      <x:c r="C629" t="n">
        <x:v>2026</x:v>
      </x:c>
      <x:c r="D629" t="str">
        <x:v>Japan</x:v>
      </x:c>
      <x:c r="E629" t="str">
        <x:v>Asia</x:v>
      </x:c>
      <x:c r="F629" t="str">
        <x:v>Technology</x:v>
      </x:c>
      <x:c r="G629" t="str">
        <x:v>Smartphone</x:v>
      </x:c>
      <x:c r="H629" t="str">
        <x:v>Home Office</x:v>
      </x:c>
      <x:c r="I629" t="n">
        <x:v>75</x:v>
      </x:c>
      <x:c r="J629" s="10" t="n">
        <x:v>46602.42</x:v>
      </x:c>
      <x:c r="K629" s="10" t="n">
        <x:v>31021.84</x:v>
      </x:c>
      <x:c r="L629" s="10" t="n">
        <x:v>15580.58</x:v>
      </x:c>
      <x:c r="M629" s="12" t="n">
        <x:v>0.33432987615353216</x:v>
      </x:c>
    </x:row>
    <x:row r="630">
      <x:c r="A630" t="str">
        <x:v>ORD-10629</x:v>
      </x:c>
      <x:c r="B630" s="8" t="n">
        <x:v>46150</x:v>
      </x:c>
      <x:c r="C630" t="n">
        <x:v>2026</x:v>
      </x:c>
      <x:c r="D630" t="str">
        <x:v>Japan</x:v>
      </x:c>
      <x:c r="E630" t="str">
        <x:v>Asia</x:v>
      </x:c>
      <x:c r="F630" t="str">
        <x:v>Furniture</x:v>
      </x:c>
      <x:c r="G630" t="str">
        <x:v>Bookshelf</x:v>
      </x:c>
      <x:c r="H630" t="str">
        <x:v>Consumer</x:v>
      </x:c>
      <x:c r="I630" t="n">
        <x:v>57</x:v>
      </x:c>
      <x:c r="J630" s="10" t="n">
        <x:v>23159.08</x:v>
      </x:c>
      <x:c r="K630" s="10" t="n">
        <x:v>19082.11</x:v>
      </x:c>
      <x:c r="L630" s="10" t="n">
        <x:v>4076.97</x:v>
      </x:c>
      <x:c r="M630" s="12" t="n">
        <x:v>0.17604208574318528</x:v>
      </x:c>
    </x:row>
    <x:row r="631">
      <x:c r="A631" t="str">
        <x:v>ORD-10630</x:v>
      </x:c>
      <x:c r="B631" s="8" t="n">
        <x:v>46199</x:v>
      </x:c>
      <x:c r="C631" t="n">
        <x:v>2026</x:v>
      </x:c>
      <x:c r="D631" t="str">
        <x:v>Japan</x:v>
      </x:c>
      <x:c r="E631" t="str">
        <x:v>Asia</x:v>
      </x:c>
      <x:c r="F631" t="str">
        <x:v>Office Supplies</x:v>
      </x:c>
      <x:c r="G631" t="str">
        <x:v>Desk Organizer</x:v>
      </x:c>
      <x:c r="H631" t="str">
        <x:v>Corporate</x:v>
      </x:c>
      <x:c r="I631" t="n">
        <x:v>119</x:v>
      </x:c>
      <x:c r="J631" s="10" t="n">
        <x:v>9328.82</x:v>
      </x:c>
      <x:c r="K631" s="10" t="n">
        <x:v>7602.13</x:v>
      </x:c>
      <x:c r="L631" s="10" t="n">
        <x:v>1726.68</x:v>
      </x:c>
      <x:c r="M631" s="12" t="n">
        <x:v>0.1850913513697883</x:v>
      </x:c>
    </x:row>
    <x:row r="632">
      <x:c r="A632" t="str">
        <x:v>ORD-10631</x:v>
      </x:c>
      <x:c r="B632" s="8" t="n">
        <x:v>46219</x:v>
      </x:c>
      <x:c r="C632" t="n">
        <x:v>2026</x:v>
      </x:c>
      <x:c r="D632" t="str">
        <x:v>Japan</x:v>
      </x:c>
      <x:c r="E632" t="str">
        <x:v>Asia</x:v>
      </x:c>
      <x:c r="F632" t="str">
        <x:v>Office Supplies</x:v>
      </x:c>
      <x:c r="G632" t="str">
        <x:v>Desk Organizer</x:v>
      </x:c>
      <x:c r="H632" t="str">
        <x:v>Consumer</x:v>
      </x:c>
      <x:c r="I632" t="n">
        <x:v>78</x:v>
      </x:c>
      <x:c r="J632" s="10" t="n">
        <x:v>6987.9</x:v>
      </x:c>
      <x:c r="K632" s="10" t="n">
        <x:v>5979.94</x:v>
      </x:c>
      <x:c r="L632" s="10" t="n">
        <x:v>1007.97</x:v>
      </x:c>
      <x:c r="M632" s="12" t="n">
        <x:v>0.14424482224643598</x:v>
      </x:c>
    </x:row>
    <x:row r="633">
      <x:c r="A633" t="str">
        <x:v>ORD-10632</x:v>
      </x:c>
      <x:c r="B633" s="8" t="n">
        <x:v>46235</x:v>
      </x:c>
      <x:c r="C633" t="n">
        <x:v>2026</x:v>
      </x:c>
      <x:c r="D633" t="str">
        <x:v>Japan</x:v>
      </x:c>
      <x:c r="E633" t="str">
        <x:v>Asia</x:v>
      </x:c>
      <x:c r="F633" t="str">
        <x:v>Office Supplies</x:v>
      </x:c>
      <x:c r="G633" t="str">
        <x:v>Printer Paper</x:v>
      </x:c>
      <x:c r="H633" t="str">
        <x:v>Consumer</x:v>
      </x:c>
      <x:c r="I633" t="n">
        <x:v>66</x:v>
      </x:c>
      <x:c r="J633" s="10" t="n">
        <x:v>5791.84</x:v>
      </x:c>
      <x:c r="K633" s="10" t="n">
        <x:v>4651.68</x:v>
      </x:c>
      <x:c r="L633" s="10" t="n">
        <x:v>1140.16</x:v>
      </x:c>
      <x:c r="M633" s="12" t="n">
        <x:v>0.19685572136857996</x:v>
      </x:c>
    </x:row>
    <x:row r="634">
      <x:c r="A634" t="str">
        <x:v>ORD-10633</x:v>
      </x:c>
      <x:c r="B634" s="8" t="n">
        <x:v>46276</x:v>
      </x:c>
      <x:c r="C634" t="n">
        <x:v>2026</x:v>
      </x:c>
      <x:c r="D634" t="str">
        <x:v>Japan</x:v>
      </x:c>
      <x:c r="E634" t="str">
        <x:v>Asia</x:v>
      </x:c>
      <x:c r="F634" t="str">
        <x:v>Technology</x:v>
      </x:c>
      <x:c r="G634" t="str">
        <x:v>Monitor</x:v>
      </x:c>
      <x:c r="H634" t="str">
        <x:v>Home Office</x:v>
      </x:c>
      <x:c r="I634" t="n">
        <x:v>86</x:v>
      </x:c>
      <x:c r="J634" s="10" t="n">
        <x:v>37038.62</x:v>
      </x:c>
      <x:c r="K634" s="10" t="n">
        <x:v>25535.28</x:v>
      </x:c>
      <x:c r="L634" s="10" t="n">
        <x:v>11503.34</x:v>
      </x:c>
      <x:c r="M634" s="12" t="n">
        <x:v>0.3105769244934987</x:v>
      </x:c>
    </x:row>
    <x:row r="635">
      <x:c r="A635" t="str">
        <x:v>ORD-10634</x:v>
      </x:c>
      <x:c r="B635" s="8" t="n">
        <x:v>46315</x:v>
      </x:c>
      <x:c r="C635" t="n">
        <x:v>2026</x:v>
      </x:c>
      <x:c r="D635" t="str">
        <x:v>Japan</x:v>
      </x:c>
      <x:c r="E635" t="str">
        <x:v>Asia</x:v>
      </x:c>
      <x:c r="F635" t="str">
        <x:v>Furniture</x:v>
      </x:c>
      <x:c r="G635" t="str">
        <x:v>Office Chair</x:v>
      </x:c>
      <x:c r="H635" t="str">
        <x:v>Consumer</x:v>
      </x:c>
      <x:c r="I635" t="n">
        <x:v>73</x:v>
      </x:c>
      <x:c r="J635" s="10" t="n">
        <x:v>21134.26</x:v>
      </x:c>
      <x:c r="K635" s="10" t="n">
        <x:v>15595.18</x:v>
      </x:c>
      <x:c r="L635" s="10" t="n">
        <x:v>5539.08</x:v>
      </x:c>
      <x:c r="M635" s="12" t="n">
        <x:v>0.26208996798374473</x:v>
      </x:c>
    </x:row>
    <x:row r="636">
      <x:c r="A636" t="str">
        <x:v>ORD-10635</x:v>
      </x:c>
      <x:c r="B636" s="8" t="n">
        <x:v>46334</x:v>
      </x:c>
      <x:c r="C636" t="n">
        <x:v>2026</x:v>
      </x:c>
      <x:c r="D636" t="str">
        <x:v>Japan</x:v>
      </x:c>
      <x:c r="E636" t="str">
        <x:v>Asia</x:v>
      </x:c>
      <x:c r="F636" t="str">
        <x:v>Furniture</x:v>
      </x:c>
      <x:c r="G636" t="str">
        <x:v>Bookshelf</x:v>
      </x:c>
      <x:c r="H636" t="str">
        <x:v>Home Office</x:v>
      </x:c>
      <x:c r="I636" t="n">
        <x:v>72</x:v>
      </x:c>
      <x:c r="J636" s="10" t="n">
        <x:v>17972.96</x:v>
      </x:c>
      <x:c r="K636" s="10" t="n">
        <x:v>13279.89</x:v>
      </x:c>
      <x:c r="L636" s="10" t="n">
        <x:v>4693.07</x:v>
      </x:c>
      <x:c r="M636" s="12" t="n">
        <x:v>0.26111839412949406</x:v>
      </x:c>
    </x:row>
    <x:row r="637">
      <x:c r="A637" t="str">
        <x:v>ORD-10636</x:v>
      </x:c>
      <x:c r="B637" s="8" t="n">
        <x:v>46373</x:v>
      </x:c>
      <x:c r="C637" t="n">
        <x:v>2026</x:v>
      </x:c>
      <x:c r="D637" t="str">
        <x:v>Japan</x:v>
      </x:c>
      <x:c r="E637" t="str">
        <x:v>Asia</x:v>
      </x:c>
      <x:c r="F637" t="str">
        <x:v>Technology</x:v>
      </x:c>
      <x:c r="G637" t="str">
        <x:v>Monitor</x:v>
      </x:c>
      <x:c r="H637" t="str">
        <x:v>Corporate</x:v>
      </x:c>
      <x:c r="I637" t="n">
        <x:v>96</x:v>
      </x:c>
      <x:c r="J637" s="10" t="n">
        <x:v>62845.62</x:v>
      </x:c>
      <x:c r="K637" s="10" t="n">
        <x:v>46189.14</x:v>
      </x:c>
      <x:c r="L637" s="10" t="n">
        <x:v>16656.48</x:v>
      </x:c>
      <x:c r="M637" s="12" t="n">
        <x:v>0.2650380276569937</x:v>
      </x:c>
    </x:row>
    <x:row r="638">
      <x:c r="A638" t="str">
        <x:v>ORD-10637</x:v>
      </x:c>
      <x:c r="B638" s="8" t="n">
        <x:v>46046</x:v>
      </x:c>
      <x:c r="C638" t="n">
        <x:v>2026</x:v>
      </x:c>
      <x:c r="D638" t="str">
        <x:v>Singapore</x:v>
      </x:c>
      <x:c r="E638" t="str">
        <x:v>Asia</x:v>
      </x:c>
      <x:c r="F638" t="str">
        <x:v>Furniture</x:v>
      </x:c>
      <x:c r="G638" t="str">
        <x:v>Office Chair</x:v>
      </x:c>
      <x:c r="H638" t="str">
        <x:v>Consumer</x:v>
      </x:c>
      <x:c r="I638" t="n">
        <x:v>36</x:v>
      </x:c>
      <x:c r="J638" s="10" t="n">
        <x:v>9996.03</x:v>
      </x:c>
      <x:c r="K638" s="10" t="n">
        <x:v>7310.89</x:v>
      </x:c>
      <x:c r="L638" s="10" t="n">
        <x:v>2685.14</x:v>
      </x:c>
      <x:c r="M638" s="12" t="n">
        <x:v>0.26862063919024715</x:v>
      </x:c>
    </x:row>
    <x:row r="639">
      <x:c r="A639" t="str">
        <x:v>ORD-10638</x:v>
      </x:c>
      <x:c r="B639" s="8" t="n">
        <x:v>46081</x:v>
      </x:c>
      <x:c r="C639" t="n">
        <x:v>2026</x:v>
      </x:c>
      <x:c r="D639" t="str">
        <x:v>Singapore</x:v>
      </x:c>
      <x:c r="E639" t="str">
        <x:v>Asia</x:v>
      </x:c>
      <x:c r="F639" t="str">
        <x:v>Office Supplies</x:v>
      </x:c>
      <x:c r="G639" t="str">
        <x:v>Desk Organizer</x:v>
      </x:c>
      <x:c r="H639" t="str">
        <x:v>Consumer</x:v>
      </x:c>
      <x:c r="I639" t="n">
        <x:v>47</x:v>
      </x:c>
      <x:c r="J639" s="10" t="n">
        <x:v>4020.4</x:v>
      </x:c>
      <x:c r="K639" s="10" t="n">
        <x:v>3407.27</x:v>
      </x:c>
      <x:c r="L639" s="10" t="n">
        <x:v>613.13</x:v>
      </x:c>
      <x:c r="M639" s="12" t="n">
        <x:v>0.15250520806379236</x:v>
      </x:c>
    </x:row>
    <x:row r="640">
      <x:c r="A640" t="str">
        <x:v>ORD-10639</x:v>
      </x:c>
      <x:c r="B640" s="8" t="n">
        <x:v>46085</x:v>
      </x:c>
      <x:c r="C640" t="n">
        <x:v>2026</x:v>
      </x:c>
      <x:c r="D640" t="str">
        <x:v>Singapore</x:v>
      </x:c>
      <x:c r="E640" t="str">
        <x:v>Asia</x:v>
      </x:c>
      <x:c r="F640" t="str">
        <x:v>Furniture</x:v>
      </x:c>
      <x:c r="G640" t="str">
        <x:v>Desk</x:v>
      </x:c>
      <x:c r="H640" t="str">
        <x:v>Corporate</x:v>
      </x:c>
      <x:c r="I640" t="n">
        <x:v>120</x:v>
      </x:c>
      <x:c r="J640" s="10" t="n">
        <x:v>38846.56</x:v>
      </x:c>
      <x:c r="K640" s="10" t="n">
        <x:v>28901.27</x:v>
      </x:c>
      <x:c r="L640" s="10" t="n">
        <x:v>9945.28</x:v>
      </x:c>
      <x:c r="M640" s="12" t="n">
        <x:v>0.25601454973632115</x:v>
      </x:c>
    </x:row>
    <x:row r="641">
      <x:c r="A641" t="str">
        <x:v>ORD-10640</x:v>
      </x:c>
      <x:c r="B641" s="8" t="n">
        <x:v>46127</x:v>
      </x:c>
      <x:c r="C641" t="n">
        <x:v>2026</x:v>
      </x:c>
      <x:c r="D641" t="str">
        <x:v>Singapore</x:v>
      </x:c>
      <x:c r="E641" t="str">
        <x:v>Asia</x:v>
      </x:c>
      <x:c r="F641" t="str">
        <x:v>Furniture</x:v>
      </x:c>
      <x:c r="G641" t="str">
        <x:v>Office Chair</x:v>
      </x:c>
      <x:c r="H641" t="str">
        <x:v>Home Office</x:v>
      </x:c>
      <x:c r="I641" t="n">
        <x:v>101</x:v>
      </x:c>
      <x:c r="J641" s="10" t="n">
        <x:v>29595.79</x:v>
      </x:c>
      <x:c r="K641" s="10" t="n">
        <x:v>21822.24</x:v>
      </x:c>
      <x:c r="L641" s="10" t="n">
        <x:v>7773.55</x:v>
      </x:c>
      <x:c r="M641" s="12" t="n">
        <x:v>0.2626574208364675</x:v>
      </x:c>
    </x:row>
    <x:row r="642">
      <x:c r="A642" t="str">
        <x:v>ORD-10641</x:v>
      </x:c>
      <x:c r="B642" s="8" t="n">
        <x:v>46156</x:v>
      </x:c>
      <x:c r="C642" t="n">
        <x:v>2026</x:v>
      </x:c>
      <x:c r="D642" t="str">
        <x:v>Singapore</x:v>
      </x:c>
      <x:c r="E642" t="str">
        <x:v>Asia</x:v>
      </x:c>
      <x:c r="F642" t="str">
        <x:v>Furniture</x:v>
      </x:c>
      <x:c r="G642" t="str">
        <x:v>Desk</x:v>
      </x:c>
      <x:c r="H642" t="str">
        <x:v>Corporate</x:v>
      </x:c>
      <x:c r="I642" t="n">
        <x:v>15</x:v>
      </x:c>
      <x:c r="J642" s="10" t="n">
        <x:v>4255.71</x:v>
      </x:c>
      <x:c r="K642" s="10" t="n">
        <x:v>3507.43</x:v>
      </x:c>
      <x:c r="L642" s="10" t="n">
        <x:v>748.27</x:v>
      </x:c>
      <x:c r="M642" s="12" t="n">
        <x:v>0.17582859267582865</x:v>
      </x:c>
    </x:row>
    <x:row r="643">
      <x:c r="A643" t="str">
        <x:v>ORD-10642</x:v>
      </x:c>
      <x:c r="B643" s="8" t="n">
        <x:v>46192</x:v>
      </x:c>
      <x:c r="C643" t="n">
        <x:v>2026</x:v>
      </x:c>
      <x:c r="D643" t="str">
        <x:v>Singapore</x:v>
      </x:c>
      <x:c r="E643" t="str">
        <x:v>Asia</x:v>
      </x:c>
      <x:c r="F643" t="str">
        <x:v>Office Supplies</x:v>
      </x:c>
      <x:c r="G643" t="str">
        <x:v>Desk Organizer</x:v>
      </x:c>
      <x:c r="H643" t="str">
        <x:v>Home Office</x:v>
      </x:c>
      <x:c r="I643" t="n">
        <x:v>114</x:v>
      </x:c>
      <x:c r="J643" s="10" t="n">
        <x:v>11377.75</x:v>
      </x:c>
      <x:c r="K643" s="10" t="n">
        <x:v>9656.71</x:v>
      </x:c>
      <x:c r="L643" s="10" t="n">
        <x:v>1721.05</x:v>
      </x:c>
      <x:c r="M643" s="12" t="n">
        <x:v>0.1512642926202574</x:v>
      </x:c>
    </x:row>
    <x:row r="644">
      <x:c r="A644" t="str">
        <x:v>ORD-10643</x:v>
      </x:c>
      <x:c r="B644" s="8" t="n">
        <x:v>46214</x:v>
      </x:c>
      <x:c r="C644" t="n">
        <x:v>2026</x:v>
      </x:c>
      <x:c r="D644" t="str">
        <x:v>Singapore</x:v>
      </x:c>
      <x:c r="E644" t="str">
        <x:v>Asia</x:v>
      </x:c>
      <x:c r="F644" t="str">
        <x:v>Technology</x:v>
      </x:c>
      <x:c r="G644" t="str">
        <x:v>Smartphone</x:v>
      </x:c>
      <x:c r="H644" t="str">
        <x:v>Consumer</x:v>
      </x:c>
      <x:c r="I644" t="n">
        <x:v>64</x:v>
      </x:c>
      <x:c r="J644" s="10" t="n">
        <x:v>31426.56</x:v>
      </x:c>
      <x:c r="K644" s="10" t="n">
        <x:v>21912.51</x:v>
      </x:c>
      <x:c r="L644" s="10" t="n">
        <x:v>9514.06</x:v>
      </x:c>
      <x:c r="M644" s="12" t="n">
        <x:v>0.30273929287436235</x:v>
      </x:c>
    </x:row>
    <x:row r="645">
      <x:c r="A645" t="str">
        <x:v>ORD-10644</x:v>
      </x:c>
      <x:c r="B645" s="8" t="n">
        <x:v>46243</x:v>
      </x:c>
      <x:c r="C645" t="n">
        <x:v>2026</x:v>
      </x:c>
      <x:c r="D645" t="str">
        <x:v>Singapore</x:v>
      </x:c>
      <x:c r="E645" t="str">
        <x:v>Asia</x:v>
      </x:c>
      <x:c r="F645" t="str">
        <x:v>Office Supplies</x:v>
      </x:c>
      <x:c r="G645" t="str">
        <x:v>Desk Organizer</x:v>
      </x:c>
      <x:c r="H645" t="str">
        <x:v>Corporate</x:v>
      </x:c>
      <x:c r="I645" t="n">
        <x:v>92</x:v>
      </x:c>
      <x:c r="J645" s="10" t="n">
        <x:v>9159.84</x:v>
      </x:c>
      <x:c r="K645" s="10" t="n">
        <x:v>7131.07</x:v>
      </x:c>
      <x:c r="L645" s="10" t="n">
        <x:v>2028.77</x:v>
      </x:c>
      <x:c r="M645" s="12" t="n">
        <x:v>0.2214849587514152</x:v>
      </x:c>
    </x:row>
    <x:row r="646">
      <x:c r="A646" t="str">
        <x:v>ORD-10645</x:v>
      </x:c>
      <x:c r="B646" s="8" t="n">
        <x:v>46285</x:v>
      </x:c>
      <x:c r="C646" t="n">
        <x:v>2026</x:v>
      </x:c>
      <x:c r="D646" t="str">
        <x:v>Singapore</x:v>
      </x:c>
      <x:c r="E646" t="str">
        <x:v>Asia</x:v>
      </x:c>
      <x:c r="F646" t="str">
        <x:v>Furniture</x:v>
      </x:c>
      <x:c r="G646" t="str">
        <x:v>Bookshelf</x:v>
      </x:c>
      <x:c r="H646" t="str">
        <x:v>Corporate</x:v>
      </x:c>
      <x:c r="I646" t="n">
        <x:v>72</x:v>
      </x:c>
      <x:c r="J646" s="10" t="n">
        <x:v>23576.15</x:v>
      </x:c>
      <x:c r="K646" s="10" t="n">
        <x:v>19177.27</x:v>
      </x:c>
      <x:c r="L646" s="10" t="n">
        <x:v>4398.88</x:v>
      </x:c>
      <x:c r="M646" s="12" t="n">
        <x:v>0.1865816006774414</x:v>
      </x:c>
    </x:row>
    <x:row r="647">
      <x:c r="A647" t="str">
        <x:v>ORD-10646</x:v>
      </x:c>
      <x:c r="B647" s="8" t="n">
        <x:v>46313</x:v>
      </x:c>
      <x:c r="C647" t="n">
        <x:v>2026</x:v>
      </x:c>
      <x:c r="D647" t="str">
        <x:v>Singapore</x:v>
      </x:c>
      <x:c r="E647" t="str">
        <x:v>Asia</x:v>
      </x:c>
      <x:c r="F647" t="str">
        <x:v>Office Supplies</x:v>
      </x:c>
      <x:c r="G647" t="str">
        <x:v>Binders</x:v>
      </x:c>
      <x:c r="H647" t="str">
        <x:v>Home Office</x:v>
      </x:c>
      <x:c r="I647" t="n">
        <x:v>85</x:v>
      </x:c>
      <x:c r="J647" s="10" t="n">
        <x:v>8247.2</x:v>
      </x:c>
      <x:c r="K647" s="10" t="n">
        <x:v>6470.55</x:v>
      </x:c>
      <x:c r="L647" s="10" t="n">
        <x:v>1776.65</x:v>
      </x:c>
      <x:c r="M647" s="12" t="n">
        <x:v>0.21542492276741748</x:v>
      </x:c>
    </x:row>
    <x:row r="648">
      <x:c r="A648" t="str">
        <x:v>ORD-10647</x:v>
      </x:c>
      <x:c r="B648" s="8" t="n">
        <x:v>46338</x:v>
      </x:c>
      <x:c r="C648" t="n">
        <x:v>2026</x:v>
      </x:c>
      <x:c r="D648" t="str">
        <x:v>Singapore</x:v>
      </x:c>
      <x:c r="E648" t="str">
        <x:v>Asia</x:v>
      </x:c>
      <x:c r="F648" t="str">
        <x:v>Office Supplies</x:v>
      </x:c>
      <x:c r="G648" t="str">
        <x:v>Pens</x:v>
      </x:c>
      <x:c r="H648" t="str">
        <x:v>Consumer</x:v>
      </x:c>
      <x:c r="I648" t="n">
        <x:v>41</x:v>
      </x:c>
      <x:c r="J648" s="10" t="n">
        <x:v>3532.25</x:v>
      </x:c>
      <x:c r="K648" s="10" t="n">
        <x:v>2949.89</x:v>
      </x:c>
      <x:c r="L648" s="10" t="n">
        <x:v>582.36</x:v>
      </x:c>
      <x:c r="M648" s="12" t="n">
        <x:v>0.1648695394575102</x:v>
      </x:c>
    </x:row>
    <x:row r="649">
      <x:c r="A649" t="str">
        <x:v>ORD-10648</x:v>
      </x:c>
      <x:c r="B649" s="8" t="n">
        <x:v>46374</x:v>
      </x:c>
      <x:c r="C649" t="n">
        <x:v>2026</x:v>
      </x:c>
      <x:c r="D649" t="str">
        <x:v>Singapore</x:v>
      </x:c>
      <x:c r="E649" t="str">
        <x:v>Asia</x:v>
      </x:c>
      <x:c r="F649" t="str">
        <x:v>Office Supplies</x:v>
      </x:c>
      <x:c r="G649" t="str">
        <x:v>Pens</x:v>
      </x:c>
      <x:c r="H649" t="str">
        <x:v>Home Office</x:v>
      </x:c>
      <x:c r="I649" t="n">
        <x:v>98</x:v>
      </x:c>
      <x:c r="J649" s="10" t="n">
        <x:v>10024.22</x:v>
      </x:c>
      <x:c r="K649" s="10" t="n">
        <x:v>8507.18</x:v>
      </x:c>
      <x:c r="L649" s="10" t="n">
        <x:v>1517.04</x:v>
      </x:c>
      <x:c r="M649" s="12" t="n">
        <x:v>0.15133752391090396</x:v>
      </x:c>
    </x:row>
    <x:row r="650">
      <x:c r="A650" t="str">
        <x:v>ORD-10649</x:v>
      </x:c>
      <x:c r="B650" s="8" t="n">
        <x:v>46041</x:v>
      </x:c>
      <x:c r="C650" t="n">
        <x:v>2026</x:v>
      </x:c>
      <x:c r="D650" t="str">
        <x:v>Australia</x:v>
      </x:c>
      <x:c r="E650" t="str">
        <x:v>Oceania</x:v>
      </x:c>
      <x:c r="F650" t="str">
        <x:v>Office Supplies</x:v>
      </x:c>
      <x:c r="G650" t="str">
        <x:v>Binders</x:v>
      </x:c>
      <x:c r="H650" t="str">
        <x:v>Home Office</x:v>
      </x:c>
      <x:c r="I650" t="n">
        <x:v>29</x:v>
      </x:c>
      <x:c r="J650" s="10" t="n">
        <x:v>2893.03</x:v>
      </x:c>
      <x:c r="K650" s="10" t="n">
        <x:v>2321.73</x:v>
      </x:c>
      <x:c r="L650" s="10" t="n">
        <x:v>571.3</x:v>
      </x:c>
      <x:c r="M650" s="12" t="n">
        <x:v>0.19747362537417118</x:v>
      </x:c>
    </x:row>
    <x:row r="651">
      <x:c r="A651" t="str">
        <x:v>ORD-10650</x:v>
      </x:c>
      <x:c r="B651" s="8" t="n">
        <x:v>46081</x:v>
      </x:c>
      <x:c r="C651" t="n">
        <x:v>2026</x:v>
      </x:c>
      <x:c r="D651" t="str">
        <x:v>Australia</x:v>
      </x:c>
      <x:c r="E651" t="str">
        <x:v>Oceania</x:v>
      </x:c>
      <x:c r="F651" t="str">
        <x:v>Office Supplies</x:v>
      </x:c>
      <x:c r="G651" t="str">
        <x:v>Desk Organizer</x:v>
      </x:c>
      <x:c r="H651" t="str">
        <x:v>Home Office</x:v>
      </x:c>
      <x:c r="I651" t="n">
        <x:v>110</x:v>
      </x:c>
      <x:c r="J651" s="10" t="n">
        <x:v>11699.88</x:v>
      </x:c>
      <x:c r="K651" s="10" t="n">
        <x:v>9429.3</x:v>
      </x:c>
      <x:c r="L651" s="10" t="n">
        <x:v>2270.58</x:v>
      </x:c>
      <x:c r="M651" s="12" t="n">
        <x:v>0.19406833644443272</x:v>
      </x:c>
    </x:row>
    <x:row r="652">
      <x:c r="A652" t="str">
        <x:v>ORD-10651</x:v>
      </x:c>
      <x:c r="B652" s="8" t="n">
        <x:v>46103</x:v>
      </x:c>
      <x:c r="C652" t="n">
        <x:v>2026</x:v>
      </x:c>
      <x:c r="D652" t="str">
        <x:v>Australia</x:v>
      </x:c>
      <x:c r="E652" t="str">
        <x:v>Oceania</x:v>
      </x:c>
      <x:c r="F652" t="str">
        <x:v>Furniture</x:v>
      </x:c>
      <x:c r="G652" t="str">
        <x:v>Office Chair</x:v>
      </x:c>
      <x:c r="H652" t="str">
        <x:v>Home Office</x:v>
      </x:c>
      <x:c r="I652" t="n">
        <x:v>28</x:v>
      </x:c>
      <x:c r="J652" s="10" t="n">
        <x:v>6141.35</x:v>
      </x:c>
      <x:c r="K652" s="10" t="n">
        <x:v>4990.22</x:v>
      </x:c>
      <x:c r="L652" s="10" t="n">
        <x:v>1151.13</x:v>
      </x:c>
      <x:c r="M652" s="12" t="n">
        <x:v>0.18743920539593556</x:v>
      </x:c>
    </x:row>
    <x:row r="653">
      <x:c r="A653" t="str">
        <x:v>ORD-10652</x:v>
      </x:c>
      <x:c r="B653" s="8" t="n">
        <x:v>46134</x:v>
      </x:c>
      <x:c r="C653" t="n">
        <x:v>2026</x:v>
      </x:c>
      <x:c r="D653" t="str">
        <x:v>Australia</x:v>
      </x:c>
      <x:c r="E653" t="str">
        <x:v>Oceania</x:v>
      </x:c>
      <x:c r="F653" t="str">
        <x:v>Technology</x:v>
      </x:c>
      <x:c r="G653" t="str">
        <x:v>Smartphone</x:v>
      </x:c>
      <x:c r="H653" t="str">
        <x:v>Corporate</x:v>
      </x:c>
      <x:c r="I653" t="n">
        <x:v>111</x:v>
      </x:c>
      <x:c r="J653" s="10" t="n">
        <x:v>62774.04</x:v>
      </x:c>
      <x:c r="K653" s="10" t="n">
        <x:v>40927.18</x:v>
      </x:c>
      <x:c r="L653" s="10" t="n">
        <x:v>21846.87</x:v>
      </x:c>
      <x:c r="M653" s="12" t="n">
        <x:v>0.34802388723488037</x:v>
      </x:c>
    </x:row>
    <x:row r="654">
      <x:c r="A654" t="str">
        <x:v>ORD-10653</x:v>
      </x:c>
      <x:c r="B654" s="8" t="n">
        <x:v>46160</x:v>
      </x:c>
      <x:c r="C654" t="n">
        <x:v>2026</x:v>
      </x:c>
      <x:c r="D654" t="str">
        <x:v>Australia</x:v>
      </x:c>
      <x:c r="E654" t="str">
        <x:v>Oceania</x:v>
      </x:c>
      <x:c r="F654" t="str">
        <x:v>Furniture</x:v>
      </x:c>
      <x:c r="G654" t="str">
        <x:v>Desk</x:v>
      </x:c>
      <x:c r="H654" t="str">
        <x:v>Consumer</x:v>
      </x:c>
      <x:c r="I654" t="n">
        <x:v>103</x:v>
      </x:c>
      <x:c r="J654" s="10" t="n">
        <x:v>36038.58</x:v>
      </x:c>
      <x:c r="K654" s="10" t="n">
        <x:v>29029.79</x:v>
      </x:c>
      <x:c r="L654" s="10" t="n">
        <x:v>7008.79</x:v>
      </x:c>
      <x:c r="M654" s="12" t="n">
        <x:v>0.19448010839843208</x:v>
      </x:c>
    </x:row>
    <x:row r="655">
      <x:c r="A655" t="str">
        <x:v>ORD-10654</x:v>
      </x:c>
      <x:c r="B655" s="8" t="n">
        <x:v>46191</x:v>
      </x:c>
      <x:c r="C655" t="n">
        <x:v>2026</x:v>
      </x:c>
      <x:c r="D655" t="str">
        <x:v>Australia</x:v>
      </x:c>
      <x:c r="E655" t="str">
        <x:v>Oceania</x:v>
      </x:c>
      <x:c r="F655" t="str">
        <x:v>Technology</x:v>
      </x:c>
      <x:c r="G655" t="str">
        <x:v>Monitor</x:v>
      </x:c>
      <x:c r="H655" t="str">
        <x:v>Corporate</x:v>
      </x:c>
      <x:c r="I655" t="n">
        <x:v>28</x:v>
      </x:c>
      <x:c r="J655" s="10" t="n">
        <x:v>14516.91</x:v>
      </x:c>
      <x:c r="K655" s="10" t="n">
        <x:v>10001.23</x:v>
      </x:c>
      <x:c r="L655" s="10" t="n">
        <x:v>4515.67</x:v>
      </x:c>
      <x:c r="M655" s="12" t="n">
        <x:v>0.31106312162234706</x:v>
      </x:c>
    </x:row>
    <x:row r="656">
      <x:c r="A656" t="str">
        <x:v>ORD-10655</x:v>
      </x:c>
      <x:c r="B656" s="8" t="n">
        <x:v>46213</x:v>
      </x:c>
      <x:c r="C656" t="n">
        <x:v>2026</x:v>
      </x:c>
      <x:c r="D656" t="str">
        <x:v>Australia</x:v>
      </x:c>
      <x:c r="E656" t="str">
        <x:v>Oceania</x:v>
      </x:c>
      <x:c r="F656" t="str">
        <x:v>Technology</x:v>
      </x:c>
      <x:c r="G656" t="str">
        <x:v>Headphones</x:v>
      </x:c>
      <x:c r="H656" t="str">
        <x:v>Consumer</x:v>
      </x:c>
      <x:c r="I656" t="n">
        <x:v>80</x:v>
      </x:c>
      <x:c r="J656" s="10" t="n">
        <x:v>45215.32</x:v>
      </x:c>
      <x:c r="K656" s="10" t="n">
        <x:v>30481.52</x:v>
      </x:c>
      <x:c r="L656" s="10" t="n">
        <x:v>14733.8</x:v>
      </x:c>
      <x:c r="M656" s="12" t="n">
        <x:v>0.3258586102987484</x:v>
      </x:c>
    </x:row>
    <x:row r="657">
      <x:c r="A657" t="str">
        <x:v>ORD-10656</x:v>
      </x:c>
      <x:c r="B657" s="8" t="n">
        <x:v>46256</x:v>
      </x:c>
      <x:c r="C657" t="n">
        <x:v>2026</x:v>
      </x:c>
      <x:c r="D657" t="str">
        <x:v>Australia</x:v>
      </x:c>
      <x:c r="E657" t="str">
        <x:v>Oceania</x:v>
      </x:c>
      <x:c r="F657" t="str">
        <x:v>Office Supplies</x:v>
      </x:c>
      <x:c r="G657" t="str">
        <x:v>Printer Paper</x:v>
      </x:c>
      <x:c r="H657" t="str">
        <x:v>Corporate</x:v>
      </x:c>
      <x:c r="I657" t="n">
        <x:v>64</x:v>
      </x:c>
      <x:c r="J657" s="10" t="n">
        <x:v>5291.68</x:v>
      </x:c>
      <x:c r="K657" s="10" t="n">
        <x:v>4103.31</x:v>
      </x:c>
      <x:c r="L657" s="10" t="n">
        <x:v>1188.37</x:v>
      </x:c>
      <x:c r="M657" s="12" t="n">
        <x:v>0.2245733836077058</x:v>
      </x:c>
    </x:row>
    <x:row r="658">
      <x:c r="A658" t="str">
        <x:v>ORD-10657</x:v>
      </x:c>
      <x:c r="B658" s="8" t="n">
        <x:v>46290</x:v>
      </x:c>
      <x:c r="C658" t="n">
        <x:v>2026</x:v>
      </x:c>
      <x:c r="D658" t="str">
        <x:v>Australia</x:v>
      </x:c>
      <x:c r="E658" t="str">
        <x:v>Oceania</x:v>
      </x:c>
      <x:c r="F658" t="str">
        <x:v>Furniture</x:v>
      </x:c>
      <x:c r="G658" t="str">
        <x:v>Office Chair</x:v>
      </x:c>
      <x:c r="H658" t="str">
        <x:v>Consumer</x:v>
      </x:c>
      <x:c r="I658" t="n">
        <x:v>110</x:v>
      </x:c>
      <x:c r="J658" s="10" t="n">
        <x:v>28403.72</x:v>
      </x:c>
      <x:c r="K658" s="10" t="n">
        <x:v>21459.94</x:v>
      </x:c>
      <x:c r="L658" s="10" t="n">
        <x:v>6943.78</x:v>
      </x:c>
      <x:c r="M658" s="12" t="n">
        <x:v>0.24446740347342183</x:v>
      </x:c>
    </x:row>
    <x:row r="659">
      <x:c r="A659" t="str">
        <x:v>ORD-10658</x:v>
      </x:c>
      <x:c r="B659" s="8" t="n">
        <x:v>46314</x:v>
      </x:c>
      <x:c r="C659" t="n">
        <x:v>2026</x:v>
      </x:c>
      <x:c r="D659" t="str">
        <x:v>Australia</x:v>
      </x:c>
      <x:c r="E659" t="str">
        <x:v>Oceania</x:v>
      </x:c>
      <x:c r="F659" t="str">
        <x:v>Furniture</x:v>
      </x:c>
      <x:c r="G659" t="str">
        <x:v>Desk</x:v>
      </x:c>
      <x:c r="H659" t="str">
        <x:v>Home Office</x:v>
      </x:c>
      <x:c r="I659" t="n">
        <x:v>105</x:v>
      </x:c>
      <x:c r="J659" s="10" t="n">
        <x:v>35387.33</x:v>
      </x:c>
      <x:c r="K659" s="10" t="n">
        <x:v>27809.88</x:v>
      </x:c>
      <x:c r="L659" s="10" t="n">
        <x:v>7577.45</x:v>
      </x:c>
      <x:c r="M659" s="12" t="n">
        <x:v>0.21412893452206938</x:v>
      </x:c>
    </x:row>
    <x:row r="660">
      <x:c r="A660" t="str">
        <x:v>ORD-10659</x:v>
      </x:c>
      <x:c r="B660" s="8" t="n">
        <x:v>46348</x:v>
      </x:c>
      <x:c r="C660" t="n">
        <x:v>2026</x:v>
      </x:c>
      <x:c r="D660" t="str">
        <x:v>Australia</x:v>
      </x:c>
      <x:c r="E660" t="str">
        <x:v>Oceania</x:v>
      </x:c>
      <x:c r="F660" t="str">
        <x:v>Office Supplies</x:v>
      </x:c>
      <x:c r="G660" t="str">
        <x:v>Pens</x:v>
      </x:c>
      <x:c r="H660" t="str">
        <x:v>Home Office</x:v>
      </x:c>
      <x:c r="I660" t="n">
        <x:v>39</x:v>
      </x:c>
      <x:c r="J660" s="10" t="n">
        <x:v>2987.81</x:v>
      </x:c>
      <x:c r="K660" s="10" t="n">
        <x:v>2535.78</x:v>
      </x:c>
      <x:c r="L660" s="10" t="n">
        <x:v>452.03</x:v>
      </x:c>
      <x:c r="M660" s="12" t="n">
        <x:v>0.1512911078185915</x:v>
      </x:c>
    </x:row>
    <x:row r="661">
      <x:c r="A661" t="str">
        <x:v>ORD-10660</x:v>
      </x:c>
      <x:c r="B661" s="8" t="n">
        <x:v>46370</x:v>
      </x:c>
      <x:c r="C661" t="n">
        <x:v>2026</x:v>
      </x:c>
      <x:c r="D661" t="str">
        <x:v>Australia</x:v>
      </x:c>
      <x:c r="E661" t="str">
        <x:v>Oceania</x:v>
      </x:c>
      <x:c r="F661" t="str">
        <x:v>Technology</x:v>
      </x:c>
      <x:c r="G661" t="str">
        <x:v>Smartphone</x:v>
      </x:c>
      <x:c r="H661" t="str">
        <x:v>Consumer</x:v>
      </x:c>
      <x:c r="I661" t="n">
        <x:v>109</x:v>
      </x:c>
      <x:c r="J661" s="10" t="n">
        <x:v>53415.4</x:v>
      </x:c>
      <x:c r="K661" s="10" t="n">
        <x:v>38712.08</x:v>
      </x:c>
      <x:c r="L661" s="10" t="n">
        <x:v>14703.33</x:v>
      </x:c>
      <x:c r="M661" s="12" t="n">
        <x:v>0.27526378724631745</x:v>
      </x:c>
    </x:row>
    <x:row r="662">
      <x:c r="A662" t="str">
        <x:v>ORD-10661</x:v>
      </x:c>
      <x:c r="B662" s="8" t="n">
        <x:v>46033</x:v>
      </x:c>
      <x:c r="C662" t="n">
        <x:v>2026</x:v>
      </x:c>
      <x:c r="D662" t="str">
        <x:v>UAE</x:v>
      </x:c>
      <x:c r="E662" t="str">
        <x:v>Middle East</x:v>
      </x:c>
      <x:c r="F662" t="str">
        <x:v>Furniture</x:v>
      </x:c>
      <x:c r="G662" t="str">
        <x:v>Bookshelf</x:v>
      </x:c>
      <x:c r="H662" t="str">
        <x:v>Consumer</x:v>
      </x:c>
      <x:c r="I662" t="n">
        <x:v>35</x:v>
      </x:c>
      <x:c r="J662" s="10" t="n">
        <x:v>13194.77</x:v>
      </x:c>
      <x:c r="K662" s="10" t="n">
        <x:v>10547.88</x:v>
      </x:c>
      <x:c r="L662" s="10" t="n">
        <x:v>2646.9</x:v>
      </x:c>
      <x:c r="M662" s="12" t="n">
        <x:v>0.20060193777589058</x:v>
      </x:c>
    </x:row>
    <x:row r="663">
      <x:c r="A663" t="str">
        <x:v>ORD-10662</x:v>
      </x:c>
      <x:c r="B663" s="8" t="n">
        <x:v>46078</x:v>
      </x:c>
      <x:c r="C663" t="n">
        <x:v>2026</x:v>
      </x:c>
      <x:c r="D663" t="str">
        <x:v>UAE</x:v>
      </x:c>
      <x:c r="E663" t="str">
        <x:v>Middle East</x:v>
      </x:c>
      <x:c r="F663" t="str">
        <x:v>Furniture</x:v>
      </x:c>
      <x:c r="G663" t="str">
        <x:v>Desk</x:v>
      </x:c>
      <x:c r="H663" t="str">
        <x:v>Consumer</x:v>
      </x:c>
      <x:c r="I663" t="n">
        <x:v>34</x:v>
      </x:c>
      <x:c r="J663" s="10" t="n">
        <x:v>15226.49</x:v>
      </x:c>
      <x:c r="K663" s="10" t="n">
        <x:v>11547.38</x:v>
      </x:c>
      <x:c r="L663" s="10" t="n">
        <x:v>3679.11</x:v>
      </x:c>
      <x:c r="M663" s="12" t="n">
        <x:v>0.24162563984172541</x:v>
      </x:c>
    </x:row>
    <x:row r="664">
      <x:c r="A664" t="str">
        <x:v>ORD-10663</x:v>
      </x:c>
      <x:c r="B664" s="8" t="n">
        <x:v>46107</x:v>
      </x:c>
      <x:c r="C664" t="n">
        <x:v>2026</x:v>
      </x:c>
      <x:c r="D664" t="str">
        <x:v>UAE</x:v>
      </x:c>
      <x:c r="E664" t="str">
        <x:v>Middle East</x:v>
      </x:c>
      <x:c r="F664" t="str">
        <x:v>Office Supplies</x:v>
      </x:c>
      <x:c r="G664" t="str">
        <x:v>Binders</x:v>
      </x:c>
      <x:c r="H664" t="str">
        <x:v>Corporate</x:v>
      </x:c>
      <x:c r="I664" t="n">
        <x:v>116</x:v>
      </x:c>
      <x:c r="J664" s="10" t="n">
        <x:v>12537</x:v>
      </x:c>
      <x:c r="K664" s="10" t="n">
        <x:v>10368.47</x:v>
      </x:c>
      <x:c r="L664" s="10" t="n">
        <x:v>2168.53</x:v>
      </x:c>
      <x:c r="M664" s="12" t="n">
        <x:v>0.17297027057964873</x:v>
      </x:c>
    </x:row>
    <x:row r="665">
      <x:c r="A665" t="str">
        <x:v>ORD-10664</x:v>
      </x:c>
      <x:c r="B665" s="8" t="n">
        <x:v>46138</x:v>
      </x:c>
      <x:c r="C665" t="n">
        <x:v>2026</x:v>
      </x:c>
      <x:c r="D665" t="str">
        <x:v>UAE</x:v>
      </x:c>
      <x:c r="E665" t="str">
        <x:v>Middle East</x:v>
      </x:c>
      <x:c r="F665" t="str">
        <x:v>Office Supplies</x:v>
      </x:c>
      <x:c r="G665" t="str">
        <x:v>Binders</x:v>
      </x:c>
      <x:c r="H665" t="str">
        <x:v>Home Office</x:v>
      </x:c>
      <x:c r="I665" t="n">
        <x:v>43</x:v>
      </x:c>
      <x:c r="J665" s="10" t="n">
        <x:v>5627.22</x:v>
      </x:c>
      <x:c r="K665" s="10" t="n">
        <x:v>4544.14</x:v>
      </x:c>
      <x:c r="L665" s="10" t="n">
        <x:v>1083.09</x:v>
      </x:c>
      <x:c r="M665" s="12" t="n">
        <x:v>0.19247275447980441</x:v>
      </x:c>
    </x:row>
    <x:row r="666">
      <x:c r="A666" t="str">
        <x:v>ORD-10665</x:v>
      </x:c>
      <x:c r="B666" s="8" t="n">
        <x:v>46150</x:v>
      </x:c>
      <x:c r="C666" t="n">
        <x:v>2026</x:v>
      </x:c>
      <x:c r="D666" t="str">
        <x:v>UAE</x:v>
      </x:c>
      <x:c r="E666" t="str">
        <x:v>Middle East</x:v>
      </x:c>
      <x:c r="F666" t="str">
        <x:v>Office Supplies</x:v>
      </x:c>
      <x:c r="G666" t="str">
        <x:v>Pens</x:v>
      </x:c>
      <x:c r="H666" t="str">
        <x:v>Corporate</x:v>
      </x:c>
      <x:c r="I666" t="n">
        <x:v>84</x:v>
      </x:c>
      <x:c r="J666" s="10" t="n">
        <x:v>8900.99</x:v>
      </x:c>
      <x:c r="K666" s="10" t="n">
        <x:v>7645.65</x:v>
      </x:c>
      <x:c r="L666" s="10" t="n">
        <x:v>1255.34</x:v>
      </x:c>
      <x:c r="M666" s="12" t="n">
        <x:v>0.14103346647268802</x:v>
      </x:c>
    </x:row>
    <x:row r="667">
      <x:c r="A667" t="str">
        <x:v>ORD-10666</x:v>
      </x:c>
      <x:c r="B667" s="8" t="n">
        <x:v>46193</x:v>
      </x:c>
      <x:c r="C667" t="n">
        <x:v>2026</x:v>
      </x:c>
      <x:c r="D667" t="str">
        <x:v>UAE</x:v>
      </x:c>
      <x:c r="E667" t="str">
        <x:v>Middle East</x:v>
      </x:c>
      <x:c r="F667" t="str">
        <x:v>Technology</x:v>
      </x:c>
      <x:c r="G667" t="str">
        <x:v>Monitor</x:v>
      </x:c>
      <x:c r="H667" t="str">
        <x:v>Corporate</x:v>
      </x:c>
      <x:c r="I667" t="n">
        <x:v>61</x:v>
      </x:c>
      <x:c r="J667" s="10" t="n">
        <x:v>31265.92</x:v>
      </x:c>
      <x:c r="K667" s="10" t="n">
        <x:v>20509.29</x:v>
      </x:c>
      <x:c r="L667" s="10" t="n">
        <x:v>10756.63</x:v>
      </x:c>
      <x:c r="M667" s="12" t="n">
        <x:v>0.3440369931632181</x:v>
      </x:c>
    </x:row>
    <x:row r="668">
      <x:c r="A668" t="str">
        <x:v>ORD-10667</x:v>
      </x:c>
      <x:c r="B668" s="8" t="n">
        <x:v>46207</x:v>
      </x:c>
      <x:c r="C668" t="n">
        <x:v>2026</x:v>
      </x:c>
      <x:c r="D668" t="str">
        <x:v>UAE</x:v>
      </x:c>
      <x:c r="E668" t="str">
        <x:v>Middle East</x:v>
      </x:c>
      <x:c r="F668" t="str">
        <x:v>Office Supplies</x:v>
      </x:c>
      <x:c r="G668" t="str">
        <x:v>Desk Organizer</x:v>
      </x:c>
      <x:c r="H668" t="str">
        <x:v>Home Office</x:v>
      </x:c>
      <x:c r="I668" t="n">
        <x:v>120</x:v>
      </x:c>
      <x:c r="J668" s="10" t="n">
        <x:v>14246.23</x:v>
      </x:c>
      <x:c r="K668" s="10" t="n">
        <x:v>11284.21</x:v>
      </x:c>
      <x:c r="L668" s="10" t="n">
        <x:v>2962.02</x:v>
      </x:c>
      <x:c r="M668" s="12" t="n">
        <x:v>0.20791601360631318</x:v>
      </x:c>
    </x:row>
    <x:row r="669">
      <x:c r="A669" t="str">
        <x:v>ORD-10668</x:v>
      </x:c>
      <x:c r="B669" s="8" t="n">
        <x:v>46254</x:v>
      </x:c>
      <x:c r="C669" t="n">
        <x:v>2026</x:v>
      </x:c>
      <x:c r="D669" t="str">
        <x:v>UAE</x:v>
      </x:c>
      <x:c r="E669" t="str">
        <x:v>Middle East</x:v>
      </x:c>
      <x:c r="F669" t="str">
        <x:v>Office Supplies</x:v>
      </x:c>
      <x:c r="G669" t="str">
        <x:v>Binders</x:v>
      </x:c>
      <x:c r="H669" t="str">
        <x:v>Corporate</x:v>
      </x:c>
      <x:c r="I669" t="n">
        <x:v>45</x:v>
      </x:c>
      <x:c r="J669" s="10" t="n">
        <x:v>5748.89</x:v>
      </x:c>
      <x:c r="K669" s="10" t="n">
        <x:v>4578.16</x:v>
      </x:c>
      <x:c r="L669" s="10" t="n">
        <x:v>1170.73</x:v>
      </x:c>
      <x:c r="M669" s="12" t="n">
        <x:v>0.2036441316472953</x:v>
      </x:c>
    </x:row>
    <x:row r="670">
      <x:c r="A670" t="str">
        <x:v>ORD-10669</x:v>
      </x:c>
      <x:c r="B670" s="8" t="n">
        <x:v>46269</x:v>
      </x:c>
      <x:c r="C670" t="n">
        <x:v>2026</x:v>
      </x:c>
      <x:c r="D670" t="str">
        <x:v>UAE</x:v>
      </x:c>
      <x:c r="E670" t="str">
        <x:v>Middle East</x:v>
      </x:c>
      <x:c r="F670" t="str">
        <x:v>Technology</x:v>
      </x:c>
      <x:c r="G670" t="str">
        <x:v>Laptop</x:v>
      </x:c>
      <x:c r="H670" t="str">
        <x:v>Home Office</x:v>
      </x:c>
      <x:c r="I670" t="n">
        <x:v>56</x:v>
      </x:c>
      <x:c r="J670" s="10" t="n">
        <x:v>30335.77</x:v>
      </x:c>
      <x:c r="K670" s="10" t="n">
        <x:v>20460.12</x:v>
      </x:c>
      <x:c r="L670" s="10" t="n">
        <x:v>9875.65</x:v>
      </x:c>
      <x:c r="M670" s="12" t="n">
        <x:v>0.3255447902783641</x:v>
      </x:c>
    </x:row>
    <x:row r="671">
      <x:c r="A671" t="str">
        <x:v>ORD-10670</x:v>
      </x:c>
      <x:c r="B671" s="8" t="n">
        <x:v>46322</x:v>
      </x:c>
      <x:c r="C671" t="n">
        <x:v>2026</x:v>
      </x:c>
      <x:c r="D671" t="str">
        <x:v>UAE</x:v>
      </x:c>
      <x:c r="E671" t="str">
        <x:v>Middle East</x:v>
      </x:c>
      <x:c r="F671" t="str">
        <x:v>Furniture</x:v>
      </x:c>
      <x:c r="G671" t="str">
        <x:v>Bookshelf</x:v>
      </x:c>
      <x:c r="H671" t="str">
        <x:v>Home Office</x:v>
      </x:c>
      <x:c r="I671" t="n">
        <x:v>107</x:v>
      </x:c>
      <x:c r="J671" s="10" t="n">
        <x:v>33714.39</x:v>
      </x:c>
      <x:c r="K671" s="10" t="n">
        <x:v>24295.93</x:v>
      </x:c>
      <x:c r="L671" s="10" t="n">
        <x:v>9418.46</x:v>
      </x:c>
      <x:c r="M671" s="12" t="n">
        <x:v>0.2793603111954342</x:v>
      </x:c>
    </x:row>
    <x:row r="672">
      <x:c r="A672" t="str">
        <x:v>ORD-10671</x:v>
      </x:c>
      <x:c r="B672" s="8" t="n">
        <x:v>46337</x:v>
      </x:c>
      <x:c r="C672" t="n">
        <x:v>2026</x:v>
      </x:c>
      <x:c r="D672" t="str">
        <x:v>UAE</x:v>
      </x:c>
      <x:c r="E672" t="str">
        <x:v>Middle East</x:v>
      </x:c>
      <x:c r="F672" t="str">
        <x:v>Furniture</x:v>
      </x:c>
      <x:c r="G672" t="str">
        <x:v>Storage Cabinet</x:v>
      </x:c>
      <x:c r="H672" t="str">
        <x:v>Corporate</x:v>
      </x:c>
      <x:c r="I672" t="n">
        <x:v>20</x:v>
      </x:c>
      <x:c r="J672" s="10" t="n">
        <x:v>6357.69</x:v>
      </x:c>
      <x:c r="K672" s="10" t="n">
        <x:v>4779.82</x:v>
      </x:c>
      <x:c r="L672" s="10" t="n">
        <x:v>1577.87</x:v>
      </x:c>
      <x:c r="M672" s="12" t="n">
        <x:v>0.24818338351772334</x:v>
      </x:c>
    </x:row>
    <x:row r="673">
      <x:c r="A673" t="str">
        <x:v>ORD-10672</x:v>
      </x:c>
      <x:c r="B673" s="8" t="n">
        <x:v>46374</x:v>
      </x:c>
      <x:c r="C673" t="n">
        <x:v>2026</x:v>
      </x:c>
      <x:c r="D673" t="str">
        <x:v>UAE</x:v>
      </x:c>
      <x:c r="E673" t="str">
        <x:v>Middle East</x:v>
      </x:c>
      <x:c r="F673" t="str">
        <x:v>Office Supplies</x:v>
      </x:c>
      <x:c r="G673" t="str">
        <x:v>Printer Paper</x:v>
      </x:c>
      <x:c r="H673" t="str">
        <x:v>Consumer</x:v>
      </x:c>
      <x:c r="I673" t="n">
        <x:v>36</x:v>
      </x:c>
      <x:c r="J673" s="10" t="n">
        <x:v>4742.42</x:v>
      </x:c>
      <x:c r="K673" s="10" t="n">
        <x:v>3685.82</x:v>
      </x:c>
      <x:c r="L673" s="10" t="n">
        <x:v>1056.6</x:v>
      </x:c>
      <x:c r="M673" s="12" t="n">
        <x:v>0.22279822218833106</x:v>
      </x:c>
    </x:row>
    <x:row r="674">
      <x:c r="A674" t="str">
        <x:v>ORD-10673</x:v>
      </x:c>
      <x:c r="B674" s="8" t="n">
        <x:v>46044</x:v>
      </x:c>
      <x:c r="C674" t="n">
        <x:v>2026</x:v>
      </x:c>
      <x:c r="D674" t="str">
        <x:v>Saudi Arabia</x:v>
      </x:c>
      <x:c r="E674" t="str">
        <x:v>Middle East</x:v>
      </x:c>
      <x:c r="F674" t="str">
        <x:v>Technology</x:v>
      </x:c>
      <x:c r="G674" t="str">
        <x:v>Laptop</x:v>
      </x:c>
      <x:c r="H674" t="str">
        <x:v>Consumer</x:v>
      </x:c>
      <x:c r="I674" t="n">
        <x:v>100</x:v>
      </x:c>
      <x:c r="J674" s="10" t="n">
        <x:v>47483.5</x:v>
      </x:c>
      <x:c r="K674" s="10" t="n">
        <x:v>35347.62</x:v>
      </x:c>
      <x:c r="L674" s="10" t="n">
        <x:v>12135.88</x:v>
      </x:c>
      <x:c r="M674" s="12" t="n">
        <x:v>0.25558101582373743</x:v>
      </x:c>
    </x:row>
    <x:row r="675">
      <x:c r="A675" t="str">
        <x:v>ORD-10674</x:v>
      </x:c>
      <x:c r="B675" s="8" t="n">
        <x:v>46077</x:v>
      </x:c>
      <x:c r="C675" t="n">
        <x:v>2026</x:v>
      </x:c>
      <x:c r="D675" t="str">
        <x:v>Saudi Arabia</x:v>
      </x:c>
      <x:c r="E675" t="str">
        <x:v>Middle East</x:v>
      </x:c>
      <x:c r="F675" t="str">
        <x:v>Furniture</x:v>
      </x:c>
      <x:c r="G675" t="str">
        <x:v>Office Chair</x:v>
      </x:c>
      <x:c r="H675" t="str">
        <x:v>Consumer</x:v>
      </x:c>
      <x:c r="I675" t="n">
        <x:v>83</x:v>
      </x:c>
      <x:c r="J675" s="10" t="n">
        <x:v>26983.68</x:v>
      </x:c>
      <x:c r="K675" s="10" t="n">
        <x:v>19551.39</x:v>
      </x:c>
      <x:c r="L675" s="10" t="n">
        <x:v>7432.29</x:v>
      </x:c>
      <x:c r="M675" s="12" t="n">
        <x:v>0.27543646780510883</x:v>
      </x:c>
    </x:row>
    <x:row r="676">
      <x:c r="A676" t="str">
        <x:v>ORD-10675</x:v>
      </x:c>
      <x:c r="B676" s="8" t="n">
        <x:v>46092</x:v>
      </x:c>
      <x:c r="C676" t="n">
        <x:v>2026</x:v>
      </x:c>
      <x:c r="D676" t="str">
        <x:v>Saudi Arabia</x:v>
      </x:c>
      <x:c r="E676" t="str">
        <x:v>Middle East</x:v>
      </x:c>
      <x:c r="F676" t="str">
        <x:v>Furniture</x:v>
      </x:c>
      <x:c r="G676" t="str">
        <x:v>Office Chair</x:v>
      </x:c>
      <x:c r="H676" t="str">
        <x:v>Home Office</x:v>
      </x:c>
      <x:c r="I676" t="n">
        <x:v>102</x:v>
      </x:c>
      <x:c r="J676" s="10" t="n">
        <x:v>22393.01</x:v>
      </x:c>
      <x:c r="K676" s="10" t="n">
        <x:v>17352.19</x:v>
      </x:c>
      <x:c r="L676" s="10" t="n">
        <x:v>5040.82</x:v>
      </x:c>
      <x:c r="M676" s="12" t="n">
        <x:v>0.225107028231205</x:v>
      </x:c>
    </x:row>
    <x:row r="677">
      <x:c r="A677" t="str">
        <x:v>ORD-10676</x:v>
      </x:c>
      <x:c r="B677" s="8" t="n">
        <x:v>46115</x:v>
      </x:c>
      <x:c r="C677" t="n">
        <x:v>2026</x:v>
      </x:c>
      <x:c r="D677" t="str">
        <x:v>Saudi Arabia</x:v>
      </x:c>
      <x:c r="E677" t="str">
        <x:v>Middle East</x:v>
      </x:c>
      <x:c r="F677" t="str">
        <x:v>Technology</x:v>
      </x:c>
      <x:c r="G677" t="str">
        <x:v>Laptop</x:v>
      </x:c>
      <x:c r="H677" t="str">
        <x:v>Consumer</x:v>
      </x:c>
      <x:c r="I677" t="n">
        <x:v>21</x:v>
      </x:c>
      <x:c r="J677" s="10" t="n">
        <x:v>7576.04</x:v>
      </x:c>
      <x:c r="K677" s="10" t="n">
        <x:v>5604.53</x:v>
      </x:c>
      <x:c r="L677" s="10" t="n">
        <x:v>1971.5</x:v>
      </x:c>
      <x:c r="M677" s="12" t="n">
        <x:v>0.2602289601189652</x:v>
      </x:c>
    </x:row>
    <x:row r="678">
      <x:c r="A678" t="str">
        <x:v>ORD-10677</x:v>
      </x:c>
      <x:c r="B678" s="8" t="n">
        <x:v>46156</x:v>
      </x:c>
      <x:c r="C678" t="n">
        <x:v>2026</x:v>
      </x:c>
      <x:c r="D678" t="str">
        <x:v>Saudi Arabia</x:v>
      </x:c>
      <x:c r="E678" t="str">
        <x:v>Middle East</x:v>
      </x:c>
      <x:c r="F678" t="str">
        <x:v>Office Supplies</x:v>
      </x:c>
      <x:c r="G678" t="str">
        <x:v>Pens</x:v>
      </x:c>
      <x:c r="H678" t="str">
        <x:v>Corporate</x:v>
      </x:c>
      <x:c r="I678" t="n">
        <x:v>67</x:v>
      </x:c>
      <x:c r="J678" s="10" t="n">
        <x:v>4951.15</x:v>
      </x:c>
      <x:c r="K678" s="10" t="n">
        <x:v>3933.07</x:v>
      </x:c>
      <x:c r="L678" s="10" t="n">
        <x:v>1018.09</x:v>
      </x:c>
      <x:c r="M678" s="12" t="n">
        <x:v>0.20562607175509456</x:v>
      </x:c>
    </x:row>
    <x:row r="679">
      <x:c r="A679" t="str">
        <x:v>ORD-10678</x:v>
      </x:c>
      <x:c r="B679" s="8" t="n">
        <x:v>46197</x:v>
      </x:c>
      <x:c r="C679" t="n">
        <x:v>2026</x:v>
      </x:c>
      <x:c r="D679" t="str">
        <x:v>Saudi Arabia</x:v>
      </x:c>
      <x:c r="E679" t="str">
        <x:v>Middle East</x:v>
      </x:c>
      <x:c r="F679" t="str">
        <x:v>Furniture</x:v>
      </x:c>
      <x:c r="G679" t="str">
        <x:v>Office Chair</x:v>
      </x:c>
      <x:c r="H679" t="str">
        <x:v>Corporate</x:v>
      </x:c>
      <x:c r="I679" t="n">
        <x:v>101</x:v>
      </x:c>
      <x:c r="J679" s="10" t="n">
        <x:v>21613.53</x:v>
      </x:c>
      <x:c r="K679" s="10" t="n">
        <x:v>17923.93</x:v>
      </x:c>
      <x:c r="L679" s="10" t="n">
        <x:v>3689.6</x:v>
      </x:c>
      <x:c r="M679" s="12" t="n">
        <x:v>0.17070787129529355</x:v>
      </x:c>
    </x:row>
    <x:row r="680">
      <x:c r="A680" t="str">
        <x:v>ORD-10679</x:v>
      </x:c>
      <x:c r="B680" s="8" t="n">
        <x:v>46215</x:v>
      </x:c>
      <x:c r="C680" t="n">
        <x:v>2026</x:v>
      </x:c>
      <x:c r="D680" t="str">
        <x:v>Saudi Arabia</x:v>
      </x:c>
      <x:c r="E680" t="str">
        <x:v>Middle East</x:v>
      </x:c>
      <x:c r="F680" t="str">
        <x:v>Office Supplies</x:v>
      </x:c>
      <x:c r="G680" t="str">
        <x:v>Printer Paper</x:v>
      </x:c>
      <x:c r="H680" t="str">
        <x:v>Home Office</x:v>
      </x:c>
      <x:c r="I680" t="n">
        <x:v>89</x:v>
      </x:c>
      <x:c r="J680" s="10" t="n">
        <x:v>5201.66</x:v>
      </x:c>
      <x:c r="K680" s="10" t="n">
        <x:v>3995.97</x:v>
      </x:c>
      <x:c r="L680" s="10" t="n">
        <x:v>1205.69</x:v>
      </x:c>
      <x:c r="M680" s="12" t="n">
        <x:v>0.23179014868073713</x:v>
      </x:c>
    </x:row>
    <x:row r="681">
      <x:c r="A681" t="str">
        <x:v>ORD-10680</x:v>
      </x:c>
      <x:c r="B681" s="8" t="n">
        <x:v>46244</x:v>
      </x:c>
      <x:c r="C681" t="n">
        <x:v>2026</x:v>
      </x:c>
      <x:c r="D681" t="str">
        <x:v>Saudi Arabia</x:v>
      </x:c>
      <x:c r="E681" t="str">
        <x:v>Middle East</x:v>
      </x:c>
      <x:c r="F681" t="str">
        <x:v>Office Supplies</x:v>
      </x:c>
      <x:c r="G681" t="str">
        <x:v>Printer Paper</x:v>
      </x:c>
      <x:c r="H681" t="str">
        <x:v>Corporate</x:v>
      </x:c>
      <x:c r="I681" t="n">
        <x:v>115</x:v>
      </x:c>
      <x:c r="J681" s="10" t="n">
        <x:v>10043.5</x:v>
      </x:c>
      <x:c r="K681" s="10" t="n">
        <x:v>8006.8</x:v>
      </x:c>
      <x:c r="L681" s="10" t="n">
        <x:v>2036.7</x:v>
      </x:c>
      <x:c r="M681" s="12" t="n">
        <x:v>0.20278790094241958</x:v>
      </x:c>
    </x:row>
    <x:row r="682">
      <x:c r="A682" t="str">
        <x:v>ORD-10681</x:v>
      </x:c>
      <x:c r="B682" s="8" t="n">
        <x:v>46283</x:v>
      </x:c>
      <x:c r="C682" t="n">
        <x:v>2026</x:v>
      </x:c>
      <x:c r="D682" t="str">
        <x:v>Saudi Arabia</x:v>
      </x:c>
      <x:c r="E682" t="str">
        <x:v>Middle East</x:v>
      </x:c>
      <x:c r="F682" t="str">
        <x:v>Furniture</x:v>
      </x:c>
      <x:c r="G682" t="str">
        <x:v>Storage Cabinet</x:v>
      </x:c>
      <x:c r="H682" t="str">
        <x:v>Corporate</x:v>
      </x:c>
      <x:c r="I682" t="n">
        <x:v>120</x:v>
      </x:c>
      <x:c r="J682" s="10" t="n">
        <x:v>35859.16</x:v>
      </x:c>
      <x:c r="K682" s="10" t="n">
        <x:v>27723.49</x:v>
      </x:c>
      <x:c r="L682" s="10" t="n">
        <x:v>8135.67</x:v>
      </x:c>
      <x:c r="M682" s="12" t="n">
        <x:v>0.22687852128415414</x:v>
      </x:c>
    </x:row>
    <x:row r="683">
      <x:c r="A683" t="str">
        <x:v>ORD-10682</x:v>
      </x:c>
      <x:c r="B683" s="8" t="n">
        <x:v>46305</x:v>
      </x:c>
      <x:c r="C683" t="n">
        <x:v>2026</x:v>
      </x:c>
      <x:c r="D683" t="str">
        <x:v>Saudi Arabia</x:v>
      </x:c>
      <x:c r="E683" t="str">
        <x:v>Middle East</x:v>
      </x:c>
      <x:c r="F683" t="str">
        <x:v>Technology</x:v>
      </x:c>
      <x:c r="G683" t="str">
        <x:v>Smartphone</x:v>
      </x:c>
      <x:c r="H683" t="str">
        <x:v>Home Office</x:v>
      </x:c>
      <x:c r="I683" t="n">
        <x:v>65</x:v>
      </x:c>
      <x:c r="J683" s="10" t="n">
        <x:v>33610.85</x:v>
      </x:c>
      <x:c r="K683" s="10" t="n">
        <x:v>22454.2</x:v>
      </x:c>
      <x:c r="L683" s="10" t="n">
        <x:v>11156.66</x:v>
      </x:c>
      <x:c r="M683" s="12" t="n">
        <x:v>0.33193609256660145</x:v>
      </x:c>
    </x:row>
    <x:row r="684">
      <x:c r="A684" t="str">
        <x:v>ORD-10683</x:v>
      </x:c>
      <x:c r="B684" s="8" t="n">
        <x:v>46354</x:v>
      </x:c>
      <x:c r="C684" t="n">
        <x:v>2026</x:v>
      </x:c>
      <x:c r="D684" t="str">
        <x:v>Saudi Arabia</x:v>
      </x:c>
      <x:c r="E684" t="str">
        <x:v>Middle East</x:v>
      </x:c>
      <x:c r="F684" t="str">
        <x:v>Office Supplies</x:v>
      </x:c>
      <x:c r="G684" t="str">
        <x:v>Pens</x:v>
      </x:c>
      <x:c r="H684" t="str">
        <x:v>Corporate</x:v>
      </x:c>
      <x:c r="I684" t="n">
        <x:v>101</x:v>
      </x:c>
      <x:c r="J684" s="10" t="n">
        <x:v>9737.12</x:v>
      </x:c>
      <x:c r="K684" s="10" t="n">
        <x:v>7343.31</x:v>
      </x:c>
      <x:c r="L684" s="10" t="n">
        <x:v>2393.81</x:v>
      </x:c>
      <x:c r="M684" s="12" t="n">
        <x:v>0.24584384721072045</x:v>
      </x:c>
    </x:row>
    <x:row r="685">
      <x:c r="A685" t="str">
        <x:v>ORD-10684</x:v>
      </x:c>
      <x:c r="B685" s="8" t="n">
        <x:v>46358</x:v>
      </x:c>
      <x:c r="C685" t="n">
        <x:v>2026</x:v>
      </x:c>
      <x:c r="D685" t="str">
        <x:v>Saudi Arabia</x:v>
      </x:c>
      <x:c r="E685" t="str">
        <x:v>Middle East</x:v>
      </x:c>
      <x:c r="F685" t="str">
        <x:v>Office Supplies</x:v>
      </x:c>
      <x:c r="G685" t="str">
        <x:v>Binders</x:v>
      </x:c>
      <x:c r="H685" t="str">
        <x:v>Consumer</x:v>
      </x:c>
      <x:c r="I685" t="n">
        <x:v>85</x:v>
      </x:c>
      <x:c r="J685" s="10" t="n">
        <x:v>8147.78</x:v>
      </x:c>
      <x:c r="K685" s="10" t="n">
        <x:v>6950.34</x:v>
      </x:c>
      <x:c r="L685" s="10" t="n">
        <x:v>1197.44</x:v>
      </x:c>
      <x:c r="M685" s="12" t="n">
        <x:v>0.14696486394694613</x:v>
      </x:c>
    </x:row>
    <x:row r="686">
      <x:c r="A686" t="str">
        <x:v>ORD-10685</x:v>
      </x:c>
      <x:c r="B686" s="8" t="n">
        <x:v>46046</x:v>
      </x:c>
      <x:c r="C686" t="n">
        <x:v>2026</x:v>
      </x:c>
      <x:c r="D686" t="str">
        <x:v>South Africa</x:v>
      </x:c>
      <x:c r="E686" t="str">
        <x:v>Africa</x:v>
      </x:c>
      <x:c r="F686" t="str">
        <x:v>Technology</x:v>
      </x:c>
      <x:c r="G686" t="str">
        <x:v>Headphones</x:v>
      </x:c>
      <x:c r="H686" t="str">
        <x:v>Home Office</x:v>
      </x:c>
      <x:c r="I686" t="n">
        <x:v>85</x:v>
      </x:c>
      <x:c r="J686" s="10" t="n">
        <x:v>28190.4</x:v>
      </x:c>
      <x:c r="K686" s="10" t="n">
        <x:v>21803.5</x:v>
      </x:c>
      <x:c r="L686" s="10" t="n">
        <x:v>6386.9</x:v>
      </x:c>
      <x:c r="M686" s="12" t="n">
        <x:v>0.22656293828194096</x:v>
      </x:c>
    </x:row>
    <x:row r="687">
      <x:c r="A687" t="str">
        <x:v>ORD-10686</x:v>
      </x:c>
      <x:c r="B687" s="8" t="n">
        <x:v>46058</x:v>
      </x:c>
      <x:c r="C687" t="n">
        <x:v>2026</x:v>
      </x:c>
      <x:c r="D687" t="str">
        <x:v>South Africa</x:v>
      </x:c>
      <x:c r="E687" t="str">
        <x:v>Africa</x:v>
      </x:c>
      <x:c r="F687" t="str">
        <x:v>Office Supplies</x:v>
      </x:c>
      <x:c r="G687" t="str">
        <x:v>Binders</x:v>
      </x:c>
      <x:c r="H687" t="str">
        <x:v>Consumer</x:v>
      </x:c>
      <x:c r="I687" t="n">
        <x:v>67</x:v>
      </x:c>
      <x:c r="J687" s="10" t="n">
        <x:v>3893.29</x:v>
      </x:c>
      <x:c r="K687" s="10" t="n">
        <x:v>3145.1</x:v>
      </x:c>
      <x:c r="L687" s="10" t="n">
        <x:v>748.19</x:v>
      </x:c>
      <x:c r="M687" s="12" t="n">
        <x:v>0.1921750621609861</x:v>
      </x:c>
    </x:row>
    <x:row r="688">
      <x:c r="A688" t="str">
        <x:v>ORD-10687</x:v>
      </x:c>
      <x:c r="B688" s="8" t="n">
        <x:v>46087</x:v>
      </x:c>
      <x:c r="C688" t="n">
        <x:v>2026</x:v>
      </x:c>
      <x:c r="D688" t="str">
        <x:v>South Africa</x:v>
      </x:c>
      <x:c r="E688" t="str">
        <x:v>Africa</x:v>
      </x:c>
      <x:c r="F688" t="str">
        <x:v>Technology</x:v>
      </x:c>
      <x:c r="G688" t="str">
        <x:v>Smartphone</x:v>
      </x:c>
      <x:c r="H688" t="str">
        <x:v>Consumer</x:v>
      </x:c>
      <x:c r="I688" t="n">
        <x:v>93</x:v>
      </x:c>
      <x:c r="J688" s="10" t="n">
        <x:v>29267.99</x:v>
      </x:c>
      <x:c r="K688" s="10" t="n">
        <x:v>23024.57</x:v>
      </x:c>
      <x:c r="L688" s="10" t="n">
        <x:v>6243.42</x:v>
      </x:c>
      <x:c r="M688" s="12" t="n">
        <x:v>0.213319145841559</x:v>
      </x:c>
    </x:row>
    <x:row r="689">
      <x:c r="A689" t="str">
        <x:v>ORD-10688</x:v>
      </x:c>
      <x:c r="B689" s="8" t="n">
        <x:v>46134</x:v>
      </x:c>
      <x:c r="C689" t="n">
        <x:v>2026</x:v>
      </x:c>
      <x:c r="D689" t="str">
        <x:v>South Africa</x:v>
      </x:c>
      <x:c r="E689" t="str">
        <x:v>Africa</x:v>
      </x:c>
      <x:c r="F689" t="str">
        <x:v>Office Supplies</x:v>
      </x:c>
      <x:c r="G689" t="str">
        <x:v>Printer Paper</x:v>
      </x:c>
      <x:c r="H689" t="str">
        <x:v>Home Office</x:v>
      </x:c>
      <x:c r="I689" t="n">
        <x:v>74</x:v>
      </x:c>
      <x:c r="J689" s="10" t="n">
        <x:v>3779.5</x:v>
      </x:c>
      <x:c r="K689" s="10" t="n">
        <x:v>3406.17</x:v>
      </x:c>
      <x:c r="L689" s="10" t="n">
        <x:v>373.33</x:v>
      </x:c>
      <x:c r="M689" s="12" t="n">
        <x:v>0.098777348659026</x:v>
      </x:c>
    </x:row>
    <x:row r="690">
      <x:c r="A690" t="str">
        <x:v>ORD-10689</x:v>
      </x:c>
      <x:c r="B690" s="8" t="n">
        <x:v>46153</x:v>
      </x:c>
      <x:c r="C690" t="n">
        <x:v>2026</x:v>
      </x:c>
      <x:c r="D690" t="str">
        <x:v>South Africa</x:v>
      </x:c>
      <x:c r="E690" t="str">
        <x:v>Africa</x:v>
      </x:c>
      <x:c r="F690" t="str">
        <x:v>Technology</x:v>
      </x:c>
      <x:c r="G690" t="str">
        <x:v>Monitor</x:v>
      </x:c>
      <x:c r="H690" t="str">
        <x:v>Consumer</x:v>
      </x:c>
      <x:c r="I690" t="n">
        <x:v>40</x:v>
      </x:c>
      <x:c r="J690" s="10" t="n">
        <x:v>11929.25</x:v>
      </x:c>
      <x:c r="K690" s="10" t="n">
        <x:v>8965.27</x:v>
      </x:c>
      <x:c r="L690" s="10" t="n">
        <x:v>2963.97</x:v>
      </x:c>
      <x:c r="M690" s="12" t="n">
        <x:v>0.24846284921604972</x:v>
      </x:c>
    </x:row>
    <x:row r="691">
      <x:c r="A691" t="str">
        <x:v>ORD-10690</x:v>
      </x:c>
      <x:c r="B691" s="8" t="n">
        <x:v>46176</x:v>
      </x:c>
      <x:c r="C691" t="n">
        <x:v>2026</x:v>
      </x:c>
      <x:c r="D691" t="str">
        <x:v>South Africa</x:v>
      </x:c>
      <x:c r="E691" t="str">
        <x:v>Africa</x:v>
      </x:c>
      <x:c r="F691" t="str">
        <x:v>Furniture</x:v>
      </x:c>
      <x:c r="G691" t="str">
        <x:v>Desk</x:v>
      </x:c>
      <x:c r="H691" t="str">
        <x:v>Home Office</x:v>
      </x:c>
      <x:c r="I691" t="n">
        <x:v>98</x:v>
      </x:c>
      <x:c r="J691" s="10" t="n">
        <x:v>13595.54</x:v>
      </x:c>
      <x:c r="K691" s="10" t="n">
        <x:v>11362.92</x:v>
      </x:c>
      <x:c r="L691" s="10" t="n">
        <x:v>2232.61</x:v>
      </x:c>
      <x:c r="M691" s="12" t="n">
        <x:v>0.1642164572651825</x:v>
      </x:c>
    </x:row>
    <x:row r="692">
      <x:c r="A692" t="str">
        <x:v>ORD-10691</x:v>
      </x:c>
      <x:c r="B692" s="8" t="n">
        <x:v>46226</x:v>
      </x:c>
      <x:c r="C692" t="n">
        <x:v>2026</x:v>
      </x:c>
      <x:c r="D692" t="str">
        <x:v>South Africa</x:v>
      </x:c>
      <x:c r="E692" t="str">
        <x:v>Africa</x:v>
      </x:c>
      <x:c r="F692" t="str">
        <x:v>Technology</x:v>
      </x:c>
      <x:c r="G692" t="str">
        <x:v>Monitor</x:v>
      </x:c>
      <x:c r="H692" t="str">
        <x:v>Corporate</x:v>
      </x:c>
      <x:c r="I692" t="n">
        <x:v>72</x:v>
      </x:c>
      <x:c r="J692" s="10" t="n">
        <x:v>17155.01</x:v>
      </x:c>
      <x:c r="K692" s="10" t="n">
        <x:v>12538.07</x:v>
      </x:c>
      <x:c r="L692" s="10" t="n">
        <x:v>4616.94</x:v>
      </x:c>
      <x:c r="M692" s="12" t="n">
        <x:v>0.2691306701055247</x:v>
      </x:c>
    </x:row>
    <x:row r="693">
      <x:c r="A693" t="str">
        <x:v>ORD-10692</x:v>
      </x:c>
      <x:c r="B693" s="8" t="n">
        <x:v>46248</x:v>
      </x:c>
      <x:c r="C693" t="n">
        <x:v>2026</x:v>
      </x:c>
      <x:c r="D693" t="str">
        <x:v>South Africa</x:v>
      </x:c>
      <x:c r="E693" t="str">
        <x:v>Africa</x:v>
      </x:c>
      <x:c r="F693" t="str">
        <x:v>Office Supplies</x:v>
      </x:c>
      <x:c r="G693" t="str">
        <x:v>Pens</x:v>
      </x:c>
      <x:c r="H693" t="str">
        <x:v>Home Office</x:v>
      </x:c>
      <x:c r="I693" t="n">
        <x:v>87</x:v>
      </x:c>
      <x:c r="J693" s="10" t="n">
        <x:v>3786.38</x:v>
      </x:c>
      <x:c r="K693" s="10" t="n">
        <x:v>3301.87</x:v>
      </x:c>
      <x:c r="L693" s="10" t="n">
        <x:v>484.5</x:v>
      </x:c>
      <x:c r="M693" s="12" t="n">
        <x:v>0.12795997913955942</x:v>
      </x:c>
    </x:row>
    <x:row r="694">
      <x:c r="A694" t="str">
        <x:v>ORD-10693</x:v>
      </x:c>
      <x:c r="B694" s="8" t="n">
        <x:v>46286</x:v>
      </x:c>
      <x:c r="C694" t="n">
        <x:v>2026</x:v>
      </x:c>
      <x:c r="D694" t="str">
        <x:v>South Africa</x:v>
      </x:c>
      <x:c r="E694" t="str">
        <x:v>Africa</x:v>
      </x:c>
      <x:c r="F694" t="str">
        <x:v>Technology</x:v>
      </x:c>
      <x:c r="G694" t="str">
        <x:v>Laptop</x:v>
      </x:c>
      <x:c r="H694" t="str">
        <x:v>Corporate</x:v>
      </x:c>
      <x:c r="I694" t="n">
        <x:v>46</x:v>
      </x:c>
      <x:c r="J694" s="10" t="n">
        <x:v>14135.77</x:v>
      </x:c>
      <x:c r="K694" s="10" t="n">
        <x:v>10241.88</x:v>
      </x:c>
      <x:c r="L694" s="10" t="n">
        <x:v>3893.89</x:v>
      </x:c>
      <x:c r="M694" s="12" t="n">
        <x:v>0.2754638952670838</x:v>
      </x:c>
    </x:row>
    <x:row r="695">
      <x:c r="A695" t="str">
        <x:v>ORD-10694</x:v>
      </x:c>
      <x:c r="B695" s="8" t="n">
        <x:v>46311</x:v>
      </x:c>
      <x:c r="C695" t="n">
        <x:v>2026</x:v>
      </x:c>
      <x:c r="D695" t="str">
        <x:v>South Africa</x:v>
      </x:c>
      <x:c r="E695" t="str">
        <x:v>Africa</x:v>
      </x:c>
      <x:c r="F695" t="str">
        <x:v>Furniture</x:v>
      </x:c>
      <x:c r="G695" t="str">
        <x:v>Bookshelf</x:v>
      </x:c>
      <x:c r="H695" t="str">
        <x:v>Corporate</x:v>
      </x:c>
      <x:c r="I695" t="n">
        <x:v>32</x:v>
      </x:c>
      <x:c r="J695" s="10" t="n">
        <x:v>5770.23</x:v>
      </x:c>
      <x:c r="K695" s="10" t="n">
        <x:v>4790.52</x:v>
      </x:c>
      <x:c r="L695" s="10" t="n">
        <x:v>979.71</x:v>
      </x:c>
      <x:c r="M695" s="12" t="n">
        <x:v>0.16978755403568074</x:v>
      </x:c>
    </x:row>
    <x:row r="696">
      <x:c r="A696" t="str">
        <x:v>ORD-10695</x:v>
      </x:c>
      <x:c r="B696" s="8" t="n">
        <x:v>46332</x:v>
      </x:c>
      <x:c r="C696" t="n">
        <x:v>2026</x:v>
      </x:c>
      <x:c r="D696" t="str">
        <x:v>South Africa</x:v>
      </x:c>
      <x:c r="E696" t="str">
        <x:v>Africa</x:v>
      </x:c>
      <x:c r="F696" t="str">
        <x:v>Furniture</x:v>
      </x:c>
      <x:c r="G696" t="str">
        <x:v>Storage Cabinet</x:v>
      </x:c>
      <x:c r="H696" t="str">
        <x:v>Corporate</x:v>
      </x:c>
      <x:c r="I696" t="n">
        <x:v>114</x:v>
      </x:c>
      <x:c r="J696" s="10" t="n">
        <x:v>16570.95</x:v>
      </x:c>
      <x:c r="K696" s="10" t="n">
        <x:v>13319.72</x:v>
      </x:c>
      <x:c r="L696" s="10" t="n">
        <x:v>3251.23</x:v>
      </x:c>
      <x:c r="M696" s="12" t="n">
        <x:v>0.19620061913922374</x:v>
      </x:c>
    </x:row>
    <x:row r="697">
      <x:c r="A697" t="str">
        <x:v>ORD-10696</x:v>
      </x:c>
      <x:c r="B697" s="8" t="n">
        <x:v>46365</x:v>
      </x:c>
      <x:c r="C697" t="n">
        <x:v>2026</x:v>
      </x:c>
      <x:c r="D697" t="str">
        <x:v>South Africa</x:v>
      </x:c>
      <x:c r="E697" t="str">
        <x:v>Africa</x:v>
      </x:c>
      <x:c r="F697" t="str">
        <x:v>Office Supplies</x:v>
      </x:c>
      <x:c r="G697" t="str">
        <x:v>Printer Paper</x:v>
      </x:c>
      <x:c r="H697" t="str">
        <x:v>Corporate</x:v>
      </x:c>
      <x:c r="I697" t="n">
        <x:v>120</x:v>
      </x:c>
      <x:c r="J697" s="10" t="n">
        <x:v>4496.4</x:v>
      </x:c>
      <x:c r="K697" s="10" t="n">
        <x:v>3801.1</x:v>
      </x:c>
      <x:c r="L697" s="10" t="n">
        <x:v>695.3</x:v>
      </x:c>
      <x:c r="M697" s="12" t="n">
        <x:v>0.1546341644493628</x:v>
      </x:c>
    </x:row>
    <x:row r="698">
      <x:c r="A698" t="str">
        <x:v>ORD-10697</x:v>
      </x:c>
      <x:c r="B698" s="8" t="n">
        <x:v>46043</x:v>
      </x:c>
      <x:c r="C698" t="n">
        <x:v>2026</x:v>
      </x:c>
      <x:c r="D698" t="str">
        <x:v>Nigeria</x:v>
      </x:c>
      <x:c r="E698" t="str">
        <x:v>Africa</x:v>
      </x:c>
      <x:c r="F698" t="str">
        <x:v>Office Supplies</x:v>
      </x:c>
      <x:c r="G698" t="str">
        <x:v>Printer Paper</x:v>
      </x:c>
      <x:c r="H698" t="str">
        <x:v>Home Office</x:v>
      </x:c>
      <x:c r="I698" t="n">
        <x:v>24</x:v>
      </x:c>
      <x:c r="J698" s="10" t="n">
        <x:v>1529.78</x:v>
      </x:c>
      <x:c r="K698" s="10" t="n">
        <x:v>1174.95</x:v>
      </x:c>
      <x:c r="L698" s="10" t="n">
        <x:v>354.83</x:v>
      </x:c>
      <x:c r="M698" s="12" t="n">
        <x:v>0.23195047274873698</x:v>
      </x:c>
    </x:row>
    <x:row r="699">
      <x:c r="A699" t="str">
        <x:v>ORD-10698</x:v>
      </x:c>
      <x:c r="B699" s="8" t="n">
        <x:v>46071</x:v>
      </x:c>
      <x:c r="C699" t="n">
        <x:v>2026</x:v>
      </x:c>
      <x:c r="D699" t="str">
        <x:v>Nigeria</x:v>
      </x:c>
      <x:c r="E699" t="str">
        <x:v>Africa</x:v>
      </x:c>
      <x:c r="F699" t="str">
        <x:v>Technology</x:v>
      </x:c>
      <x:c r="G699" t="str">
        <x:v>Headphones</x:v>
      </x:c>
      <x:c r="H699" t="str">
        <x:v>Home Office</x:v>
      </x:c>
      <x:c r="I699" t="n">
        <x:v>42</x:v>
      </x:c>
      <x:c r="J699" s="10" t="n">
        <x:v>15091.26</x:v>
      </x:c>
      <x:c r="K699" s="10" t="n">
        <x:v>10621.36</x:v>
      </x:c>
      <x:c r="L699" s="10" t="n">
        <x:v>4469.9</x:v>
      </x:c>
      <x:c r="M699" s="12" t="n">
        <x:v>0.296191279823139</x:v>
      </x:c>
    </x:row>
    <x:row r="700">
      <x:c r="A700" t="str">
        <x:v>ORD-10699</x:v>
      </x:c>
      <x:c r="B700" s="8" t="n">
        <x:v>46106</x:v>
      </x:c>
      <x:c r="C700" t="n">
        <x:v>2026</x:v>
      </x:c>
      <x:c r="D700" t="str">
        <x:v>Nigeria</x:v>
      </x:c>
      <x:c r="E700" t="str">
        <x:v>Africa</x:v>
      </x:c>
      <x:c r="F700" t="str">
        <x:v>Office Supplies</x:v>
      </x:c>
      <x:c r="G700" t="str">
        <x:v>Desk Organizer</x:v>
      </x:c>
      <x:c r="H700" t="str">
        <x:v>Home Office</x:v>
      </x:c>
      <x:c r="I700" t="n">
        <x:v>114</x:v>
      </x:c>
      <x:c r="J700" s="10" t="n">
        <x:v>4744.46</x:v>
      </x:c>
      <x:c r="K700" s="10" t="n">
        <x:v>3904.22</x:v>
      </x:c>
      <x:c r="L700" s="10" t="n">
        <x:v>840.24</x:v>
      </x:c>
      <x:c r="M700" s="12" t="n">
        <x:v>0.1770998015016079</x:v>
      </x:c>
    </x:row>
    <x:row r="701">
      <x:c r="A701" t="str">
        <x:v>ORD-10700</x:v>
      </x:c>
      <x:c r="B701" s="8" t="n">
        <x:v>46124</x:v>
      </x:c>
      <x:c r="C701" t="n">
        <x:v>2026</x:v>
      </x:c>
      <x:c r="D701" t="str">
        <x:v>Nigeria</x:v>
      </x:c>
      <x:c r="E701" t="str">
        <x:v>Africa</x:v>
      </x:c>
      <x:c r="F701" t="str">
        <x:v>Office Supplies</x:v>
      </x:c>
      <x:c r="G701" t="str">
        <x:v>Binders</x:v>
      </x:c>
      <x:c r="H701" t="str">
        <x:v>Consumer</x:v>
      </x:c>
      <x:c r="I701" t="n">
        <x:v>74</x:v>
      </x:c>
      <x:c r="J701" s="10" t="n">
        <x:v>3855.91</x:v>
      </x:c>
      <x:c r="K701" s="10" t="n">
        <x:v>3312.74</x:v>
      </x:c>
      <x:c r="L701" s="10" t="n">
        <x:v>543.17</x:v>
      </x:c>
      <x:c r="M701" s="12" t="n">
        <x:v>0.14086648291061984</x:v>
      </x:c>
    </x:row>
    <x:row r="702">
      <x:c r="A702" t="str">
        <x:v>ORD-10701</x:v>
      </x:c>
      <x:c r="B702" s="8" t="n">
        <x:v>46162</x:v>
      </x:c>
      <x:c r="C702" t="n">
        <x:v>2026</x:v>
      </x:c>
      <x:c r="D702" t="str">
        <x:v>Nigeria</x:v>
      </x:c>
      <x:c r="E702" t="str">
        <x:v>Africa</x:v>
      </x:c>
      <x:c r="F702" t="str">
        <x:v>Office Supplies</x:v>
      </x:c>
      <x:c r="G702" t="str">
        <x:v>Printer Paper</x:v>
      </x:c>
      <x:c r="H702" t="str">
        <x:v>Home Office</x:v>
      </x:c>
      <x:c r="I702" t="n">
        <x:v>45</x:v>
      </x:c>
      <x:c r="J702" s="10" t="n">
        <x:v>2809.26</x:v>
      </x:c>
      <x:c r="K702" s="10" t="n">
        <x:v>2172.17</x:v>
      </x:c>
      <x:c r="L702" s="10" t="n">
        <x:v>637.1</x:v>
      </x:c>
      <x:c r="M702" s="12" t="n">
        <x:v>0.22678480683134788</x:v>
      </x:c>
    </x:row>
    <x:row r="703">
      <x:c r="A703" t="str">
        <x:v>ORD-10702</x:v>
      </x:c>
      <x:c r="B703" s="8" t="n">
        <x:v>46192</x:v>
      </x:c>
      <x:c r="C703" t="n">
        <x:v>2026</x:v>
      </x:c>
      <x:c r="D703" t="str">
        <x:v>Nigeria</x:v>
      </x:c>
      <x:c r="E703" t="str">
        <x:v>Africa</x:v>
      </x:c>
      <x:c r="F703" t="str">
        <x:v>Office Supplies</x:v>
      </x:c>
      <x:c r="G703" t="str">
        <x:v>Pens</x:v>
      </x:c>
      <x:c r="H703" t="str">
        <x:v>Home Office</x:v>
      </x:c>
      <x:c r="I703" t="n">
        <x:v>32</x:v>
      </x:c>
      <x:c r="J703" s="10" t="n">
        <x:v>1615.14</x:v>
      </x:c>
      <x:c r="K703" s="10" t="n">
        <x:v>1370.45</x:v>
      </x:c>
      <x:c r="L703" s="10" t="n">
        <x:v>244.69</x:v>
      </x:c>
      <x:c r="M703" s="12" t="n">
        <x:v>0.15149742206903452</x:v>
      </x:c>
    </x:row>
    <x:row r="704">
      <x:c r="A704" t="str">
        <x:v>ORD-10703</x:v>
      </x:c>
      <x:c r="B704" s="8" t="n">
        <x:v>46211</x:v>
      </x:c>
      <x:c r="C704" t="n">
        <x:v>2026</x:v>
      </x:c>
      <x:c r="D704" t="str">
        <x:v>Nigeria</x:v>
      </x:c>
      <x:c r="E704" t="str">
        <x:v>Africa</x:v>
      </x:c>
      <x:c r="F704" t="str">
        <x:v>Office Supplies</x:v>
      </x:c>
      <x:c r="G704" t="str">
        <x:v>Pens</x:v>
      </x:c>
      <x:c r="H704" t="str">
        <x:v>Home Office</x:v>
      </x:c>
      <x:c r="I704" t="n">
        <x:v>108</x:v>
      </x:c>
      <x:c r="J704" s="10" t="n">
        <x:v>5570.92</x:v>
      </x:c>
      <x:c r="K704" s="10" t="n">
        <x:v>4606.84</x:v>
      </x:c>
      <x:c r="L704" s="10" t="n">
        <x:v>964.08</x:v>
      </x:c>
      <x:c r="M704" s="12" t="n">
        <x:v>0.1730554646614966</x:v>
      </x:c>
    </x:row>
    <x:row r="705">
      <x:c r="A705" t="str">
        <x:v>ORD-10704</x:v>
      </x:c>
      <x:c r="B705" s="8" t="n">
        <x:v>46241</x:v>
      </x:c>
      <x:c r="C705" t="n">
        <x:v>2026</x:v>
      </x:c>
      <x:c r="D705" t="str">
        <x:v>Nigeria</x:v>
      </x:c>
      <x:c r="E705" t="str">
        <x:v>Africa</x:v>
      </x:c>
      <x:c r="F705" t="str">
        <x:v>Furniture</x:v>
      </x:c>
      <x:c r="G705" t="str">
        <x:v>Desk</x:v>
      </x:c>
      <x:c r="H705" t="str">
        <x:v>Consumer</x:v>
      </x:c>
      <x:c r="I705" t="n">
        <x:v>48</x:v>
      </x:c>
      <x:c r="J705" s="10" t="n">
        <x:v>8018.54</x:v>
      </x:c>
      <x:c r="K705" s="10" t="n">
        <x:v>6614.19</x:v>
      </x:c>
      <x:c r="L705" s="10" t="n">
        <x:v>1404.34</x:v>
      </x:c>
      <x:c r="M705" s="12" t="n">
        <x:v>0.17513701290063763</x:v>
      </x:c>
    </x:row>
    <x:row r="706">
      <x:c r="A706" t="str">
        <x:v>ORD-10705</x:v>
      </x:c>
      <x:c r="B706" s="8" t="n">
        <x:v>46267</x:v>
      </x:c>
      <x:c r="C706" t="n">
        <x:v>2026</x:v>
      </x:c>
      <x:c r="D706" t="str">
        <x:v>Nigeria</x:v>
      </x:c>
      <x:c r="E706" t="str">
        <x:v>Africa</x:v>
      </x:c>
      <x:c r="F706" t="str">
        <x:v>Office Supplies</x:v>
      </x:c>
      <x:c r="G706" t="str">
        <x:v>Binders</x:v>
      </x:c>
      <x:c r="H706" t="str">
        <x:v>Corporate</x:v>
      </x:c>
      <x:c r="I706" t="n">
        <x:v>75</x:v>
      </x:c>
      <x:c r="J706" s="10" t="n">
        <x:v>4838.15</x:v>
      </x:c>
      <x:c r="K706" s="10" t="n">
        <x:v>3697.38</x:v>
      </x:c>
      <x:c r="L706" s="10" t="n">
        <x:v>1140.77</x:v>
      </x:c>
      <x:c r="M706" s="12" t="n">
        <x:v>0.23578623775819316</x:v>
      </x:c>
    </x:row>
    <x:row r="707">
      <x:c r="A707" t="str">
        <x:v>ORD-10706</x:v>
      </x:c>
      <x:c r="B707" s="8" t="n">
        <x:v>46304</x:v>
      </x:c>
      <x:c r="C707" t="n">
        <x:v>2026</x:v>
      </x:c>
      <x:c r="D707" t="str">
        <x:v>Nigeria</x:v>
      </x:c>
      <x:c r="E707" t="str">
        <x:v>Africa</x:v>
      </x:c>
      <x:c r="F707" t="str">
        <x:v>Office Supplies</x:v>
      </x:c>
      <x:c r="G707" t="str">
        <x:v>Binders</x:v>
      </x:c>
      <x:c r="H707" t="str">
        <x:v>Consumer</x:v>
      </x:c>
      <x:c r="I707" t="n">
        <x:v>105</x:v>
      </x:c>
      <x:c r="J707" s="10" t="n">
        <x:v>6931.31</x:v>
      </x:c>
      <x:c r="K707" s="10" t="n">
        <x:v>5503.27</x:v>
      </x:c>
      <x:c r="L707" s="10" t="n">
        <x:v>1428.04</x:v>
      </x:c>
      <x:c r="M707" s="12" t="n">
        <x:v>0.20602803781299045</x:v>
      </x:c>
    </x:row>
    <x:row r="708">
      <x:c r="A708" t="str">
        <x:v>ORD-10707</x:v>
      </x:c>
      <x:c r="B708" s="8" t="n">
        <x:v>46339</x:v>
      </x:c>
      <x:c r="C708" t="n">
        <x:v>2026</x:v>
      </x:c>
      <x:c r="D708" t="str">
        <x:v>Nigeria</x:v>
      </x:c>
      <x:c r="E708" t="str">
        <x:v>Africa</x:v>
      </x:c>
      <x:c r="F708" t="str">
        <x:v>Office Supplies</x:v>
      </x:c>
      <x:c r="G708" t="str">
        <x:v>Binders</x:v>
      </x:c>
      <x:c r="H708" t="str">
        <x:v>Home Office</x:v>
      </x:c>
      <x:c r="I708" t="n">
        <x:v>84</x:v>
      </x:c>
      <x:c r="J708" s="10" t="n">
        <x:v>4549.54</x:v>
      </x:c>
      <x:c r="K708" s="10" t="n">
        <x:v>3752.46</x:v>
      </x:c>
      <x:c r="L708" s="10" t="n">
        <x:v>797.07</x:v>
      </x:c>
      <x:c r="M708" s="12" t="n">
        <x:v>0.17519914834529943</x:v>
      </x:c>
    </x:row>
    <x:row r="709">
      <x:c r="A709" t="str">
        <x:v>ORD-10708</x:v>
      </x:c>
      <x:c r="B709" s="8" t="n">
        <x:v>46373</x:v>
      </x:c>
      <x:c r="C709" t="n">
        <x:v>2026</x:v>
      </x:c>
      <x:c r="D709" t="str">
        <x:v>Nigeria</x:v>
      </x:c>
      <x:c r="E709" t="str">
        <x:v>Africa</x:v>
      </x:c>
      <x:c r="F709" t="str">
        <x:v>Furniture</x:v>
      </x:c>
      <x:c r="G709" t="str">
        <x:v>Office Chair</x:v>
      </x:c>
      <x:c r="H709" t="str">
        <x:v>Home Office</x:v>
      </x:c>
      <x:c r="I709" t="n">
        <x:v>47</x:v>
      </x:c>
      <x:c r="J709" s="10" t="n">
        <x:v>7884.91</x:v>
      </x:c>
      <x:c r="K709" s="10" t="n">
        <x:v>5686.05</x:v>
      </x:c>
      <x:c r="L709" s="10" t="n">
        <x:v>2198.86</x:v>
      </x:c>
      <x:c r="M709" s="12" t="n">
        <x:v>0.27886909117361836</x:v>
      </x:c>
    </x:row>
    <x:row r="710">
      <x:c r="A710" t="str">
        <x:v>ORD-10709</x:v>
      </x:c>
      <x:c r="B710" s="8" t="n">
        <x:v>46023</x:v>
      </x:c>
      <x:c r="C710" t="n">
        <x:v>2026</x:v>
      </x:c>
      <x:c r="D710" t="str">
        <x:v>Kenya</x:v>
      </x:c>
      <x:c r="E710" t="str">
        <x:v>Africa</x:v>
      </x:c>
      <x:c r="F710" t="str">
        <x:v>Furniture</x:v>
      </x:c>
      <x:c r="G710" t="str">
        <x:v>Bookshelf</x:v>
      </x:c>
      <x:c r="H710" t="str">
        <x:v>Corporate</x:v>
      </x:c>
      <x:c r="I710" t="n">
        <x:v>77</x:v>
      </x:c>
      <x:c r="J710" s="10" t="n">
        <x:v>14106.91</x:v>
      </x:c>
      <x:c r="K710" s="10" t="n">
        <x:v>10206.9</x:v>
      </x:c>
      <x:c r="L710" s="10" t="n">
        <x:v>3900.01</x:v>
      </x:c>
      <x:c r="M710" s="12" t="n">
        <x:v>0.2764606332220534</x:v>
      </x:c>
    </x:row>
    <x:row r="711">
      <x:c r="A711" t="str">
        <x:v>ORD-10710</x:v>
      </x:c>
      <x:c r="B711" s="8" t="n">
        <x:v>46062</x:v>
      </x:c>
      <x:c r="C711" t="n">
        <x:v>2026</x:v>
      </x:c>
      <x:c r="D711" t="str">
        <x:v>Kenya</x:v>
      </x:c>
      <x:c r="E711" t="str">
        <x:v>Africa</x:v>
      </x:c>
      <x:c r="F711" t="str">
        <x:v>Office Supplies</x:v>
      </x:c>
      <x:c r="G711" t="str">
        <x:v>Pens</x:v>
      </x:c>
      <x:c r="H711" t="str">
        <x:v>Corporate</x:v>
      </x:c>
      <x:c r="I711" t="n">
        <x:v>36</x:v>
      </x:c>
      <x:c r="J711" s="10" t="n">
        <x:v>1378.46</x:v>
      </x:c>
      <x:c r="K711" s="10" t="n">
        <x:v>1114.15</x:v>
      </x:c>
      <x:c r="L711" s="10" t="n">
        <x:v>264.31</x:v>
      </x:c>
      <x:c r="M711" s="12" t="n">
        <x:v>0.19174495277715656</x:v>
      </x:c>
    </x:row>
    <x:row r="712">
      <x:c r="A712" t="str">
        <x:v>ORD-10711</x:v>
      </x:c>
      <x:c r="B712" s="8" t="n">
        <x:v>46085</x:v>
      </x:c>
      <x:c r="C712" t="n">
        <x:v>2026</x:v>
      </x:c>
      <x:c r="D712" t="str">
        <x:v>Kenya</x:v>
      </x:c>
      <x:c r="E712" t="str">
        <x:v>Africa</x:v>
      </x:c>
      <x:c r="F712" t="str">
        <x:v>Technology</x:v>
      </x:c>
      <x:c r="G712" t="str">
        <x:v>Smartphone</x:v>
      </x:c>
      <x:c r="H712" t="str">
        <x:v>Consumer</x:v>
      </x:c>
      <x:c r="I712" t="n">
        <x:v>35</x:v>
      </x:c>
      <x:c r="J712" s="10" t="n">
        <x:v>8175.51</x:v>
      </x:c>
      <x:c r="K712" s="10" t="n">
        <x:v>5591.42</x:v>
      </x:c>
      <x:c r="L712" s="10" t="n">
        <x:v>2584.08</x:v>
      </x:c>
      <x:c r="M712" s="12" t="n">
        <x:v>0.31607632501449145</x:v>
      </x:c>
    </x:row>
    <x:row r="713">
      <x:c r="A713" t="str">
        <x:v>ORD-10712</x:v>
      </x:c>
      <x:c r="B713" s="8" t="n">
        <x:v>46134</x:v>
      </x:c>
      <x:c r="C713" t="n">
        <x:v>2026</x:v>
      </x:c>
      <x:c r="D713" t="str">
        <x:v>Kenya</x:v>
      </x:c>
      <x:c r="E713" t="str">
        <x:v>Africa</x:v>
      </x:c>
      <x:c r="F713" t="str">
        <x:v>Office Supplies</x:v>
      </x:c>
      <x:c r="G713" t="str">
        <x:v>Pens</x:v>
      </x:c>
      <x:c r="H713" t="str">
        <x:v>Corporate</x:v>
      </x:c>
      <x:c r="I713" t="n">
        <x:v>118</x:v>
      </x:c>
      <x:c r="J713" s="10" t="n">
        <x:v>4824.3</x:v>
      </x:c>
      <x:c r="K713" s="10" t="n">
        <x:v>4131.53</x:v>
      </x:c>
      <x:c r="L713" s="10" t="n">
        <x:v>692.77</x:v>
      </x:c>
      <x:c r="M713" s="12" t="n">
        <x:v>0.14360064370767772</x:v>
      </x:c>
    </x:row>
    <x:row r="714">
      <x:c r="A714" t="str">
        <x:v>ORD-10713</x:v>
      </x:c>
      <x:c r="B714" s="8" t="n">
        <x:v>46143</x:v>
      </x:c>
      <x:c r="C714" t="n">
        <x:v>2026</x:v>
      </x:c>
      <x:c r="D714" t="str">
        <x:v>Kenya</x:v>
      </x:c>
      <x:c r="E714" t="str">
        <x:v>Africa</x:v>
      </x:c>
      <x:c r="F714" t="str">
        <x:v>Furniture</x:v>
      </x:c>
      <x:c r="G714" t="str">
        <x:v>Storage Cabinet</x:v>
      </x:c>
      <x:c r="H714" t="str">
        <x:v>Consumer</x:v>
      </x:c>
      <x:c r="I714" t="n">
        <x:v>90</x:v>
      </x:c>
      <x:c r="J714" s="10" t="n">
        <x:v>11391.76</x:v>
      </x:c>
      <x:c r="K714" s="10" t="n">
        <x:v>8315.94</x:v>
      </x:c>
      <x:c r="L714" s="10" t="n">
        <x:v>3075.82</x:v>
      </x:c>
      <x:c r="M714" s="12" t="n">
        <x:v>0.27000379956743054</x:v>
      </x:c>
    </x:row>
    <x:row r="715">
      <x:c r="A715" t="str">
        <x:v>ORD-10714</x:v>
      </x:c>
      <x:c r="B715" s="8" t="n">
        <x:v>46190</x:v>
      </x:c>
      <x:c r="C715" t="n">
        <x:v>2026</x:v>
      </x:c>
      <x:c r="D715" t="str">
        <x:v>Kenya</x:v>
      </x:c>
      <x:c r="E715" t="str">
        <x:v>Africa</x:v>
      </x:c>
      <x:c r="F715" t="str">
        <x:v>Technology</x:v>
      </x:c>
      <x:c r="G715" t="str">
        <x:v>Laptop</x:v>
      </x:c>
      <x:c r="H715" t="str">
        <x:v>Consumer</x:v>
      </x:c>
      <x:c r="I715" t="n">
        <x:v>88</x:v>
      </x:c>
      <x:c r="J715" s="10" t="n">
        <x:v>23489.61</x:v>
      </x:c>
      <x:c r="K715" s="10" t="n">
        <x:v>17707.25</x:v>
      </x:c>
      <x:c r="L715" s="10" t="n">
        <x:v>5782.36</x:v>
      </x:c>
      <x:c r="M715" s="12" t="n">
        <x:v>0.24616688576001566</x:v>
      </x:c>
    </x:row>
    <x:row r="716">
      <x:c r="A716" t="str">
        <x:v>ORD-10715</x:v>
      </x:c>
      <x:c r="B716" s="8" t="n">
        <x:v>46216</x:v>
      </x:c>
      <x:c r="C716" t="n">
        <x:v>2026</x:v>
      </x:c>
      <x:c r="D716" t="str">
        <x:v>Kenya</x:v>
      </x:c>
      <x:c r="E716" t="str">
        <x:v>Africa</x:v>
      </x:c>
      <x:c r="F716" t="str">
        <x:v>Technology</x:v>
      </x:c>
      <x:c r="G716" t="str">
        <x:v>Smartphone</x:v>
      </x:c>
      <x:c r="H716" t="str">
        <x:v>Consumer</x:v>
      </x:c>
      <x:c r="I716" t="n">
        <x:v>36</x:v>
      </x:c>
      <x:c r="J716" s="10" t="n">
        <x:v>7866.84</x:v>
      </x:c>
      <x:c r="K716" s="10" t="n">
        <x:v>5887.51</x:v>
      </x:c>
      <x:c r="L716" s="10" t="n">
        <x:v>1979.33</x:v>
      </x:c>
      <x:c r="M716" s="12" t="n">
        <x:v>0.25160450474915563</x:v>
      </x:c>
    </x:row>
    <x:row r="717">
      <x:c r="A717" t="str">
        <x:v>ORD-10716</x:v>
      </x:c>
      <x:c r="B717" s="8" t="n">
        <x:v>46237</x:v>
      </x:c>
      <x:c r="C717" t="n">
        <x:v>2026</x:v>
      </x:c>
      <x:c r="D717" t="str">
        <x:v>Kenya</x:v>
      </x:c>
      <x:c r="E717" t="str">
        <x:v>Africa</x:v>
      </x:c>
      <x:c r="F717" t="str">
        <x:v>Office Supplies</x:v>
      </x:c>
      <x:c r="G717" t="str">
        <x:v>Printer Paper</x:v>
      </x:c>
      <x:c r="H717" t="str">
        <x:v>Home Office</x:v>
      </x:c>
      <x:c r="I717" t="n">
        <x:v>108</x:v>
      </x:c>
      <x:c r="J717" s="10" t="n">
        <x:v>5341.8</x:v>
      </x:c>
      <x:c r="K717" s="10" t="n">
        <x:v>4465.66</x:v>
      </x:c>
      <x:c r="L717" s="10" t="n">
        <x:v>876.13</x:v>
      </x:c>
      <x:c r="M717" s="12" t="n">
        <x:v>0.16401455516867688</x:v>
      </x:c>
    </x:row>
    <x:row r="718">
      <x:c r="A718" t="str">
        <x:v>ORD-10717</x:v>
      </x:c>
      <x:c r="B718" s="8" t="n">
        <x:v>46292</x:v>
      </x:c>
      <x:c r="C718" t="n">
        <x:v>2026</x:v>
      </x:c>
      <x:c r="D718" t="str">
        <x:v>Kenya</x:v>
      </x:c>
      <x:c r="E718" t="str">
        <x:v>Africa</x:v>
      </x:c>
      <x:c r="F718" t="str">
        <x:v>Technology</x:v>
      </x:c>
      <x:c r="G718" t="str">
        <x:v>Headphones</x:v>
      </x:c>
      <x:c r="H718" t="str">
        <x:v>Home Office</x:v>
      </x:c>
      <x:c r="I718" t="n">
        <x:v>75</x:v>
      </x:c>
      <x:c r="J718" s="10" t="n">
        <x:v>23007.3</x:v>
      </x:c>
      <x:c r="K718" s="10" t="n">
        <x:v>17244.71</x:v>
      </x:c>
      <x:c r="L718" s="10" t="n">
        <x:v>5762.59</x:v>
      </x:c>
      <x:c r="M718" s="12" t="n">
        <x:v>0.25046801407876346</x:v>
      </x:c>
    </x:row>
    <x:row r="719">
      <x:c r="A719" t="str">
        <x:v>ORD-10718</x:v>
      </x:c>
      <x:c r="B719" s="8" t="n">
        <x:v>46312</x:v>
      </x:c>
      <x:c r="C719" t="n">
        <x:v>2026</x:v>
      </x:c>
      <x:c r="D719" t="str">
        <x:v>Kenya</x:v>
      </x:c>
      <x:c r="E719" t="str">
        <x:v>Africa</x:v>
      </x:c>
      <x:c r="F719" t="str">
        <x:v>Furniture</x:v>
      </x:c>
      <x:c r="G719" t="str">
        <x:v>Desk</x:v>
      </x:c>
      <x:c r="H719" t="str">
        <x:v>Home Office</x:v>
      </x:c>
      <x:c r="I719" t="n">
        <x:v>120</x:v>
      </x:c>
      <x:c r="J719" s="10" t="n">
        <x:v>21713.92</x:v>
      </x:c>
      <x:c r="K719" s="10" t="n">
        <x:v>16398.67</x:v>
      </x:c>
      <x:c r="L719" s="10" t="n">
        <x:v>5315.25</x:v>
      </x:c>
      <x:c r="M719" s="12" t="n">
        <x:v>0.24478540866939605</x:v>
      </x:c>
    </x:row>
    <x:row r="720">
      <x:c r="A720" t="str">
        <x:v>ORD-10719</x:v>
      </x:c>
      <x:c r="B720" s="8" t="n">
        <x:v>46345</x:v>
      </x:c>
      <x:c r="C720" t="n">
        <x:v>2026</x:v>
      </x:c>
      <x:c r="D720" t="str">
        <x:v>Kenya</x:v>
      </x:c>
      <x:c r="E720" t="str">
        <x:v>Africa</x:v>
      </x:c>
      <x:c r="F720" t="str">
        <x:v>Furniture</x:v>
      </x:c>
      <x:c r="G720" t="str">
        <x:v>Desk</x:v>
      </x:c>
      <x:c r="H720" t="str">
        <x:v>Home Office</x:v>
      </x:c>
      <x:c r="I720" t="n">
        <x:v>102</x:v>
      </x:c>
      <x:c r="J720" s="10" t="n">
        <x:v>14570.42</x:v>
      </x:c>
      <x:c r="K720" s="10" t="n">
        <x:v>11300.57</x:v>
      </x:c>
      <x:c r="L720" s="10" t="n">
        <x:v>3269.84</x:v>
      </x:c>
      <x:c r="M720" s="12" t="n">
        <x:v>0.22441641741681106</x:v>
      </x:c>
    </x:row>
    <x:row r="721">
      <x:c r="A721" t="str">
        <x:v>ORD-10720</x:v>
      </x:c>
      <x:c r="B721" s="8" t="n">
        <x:v>46373</x:v>
      </x:c>
      <x:c r="C721" t="n">
        <x:v>2026</x:v>
      </x:c>
      <x:c r="D721" t="str">
        <x:v>Kenya</x:v>
      </x:c>
      <x:c r="E721" t="str">
        <x:v>Africa</x:v>
      </x:c>
      <x:c r="F721" t="str">
        <x:v>Technology</x:v>
      </x:c>
      <x:c r="G721" t="str">
        <x:v>Smartphone</x:v>
      </x:c>
      <x:c r="H721" t="str">
        <x:v>Corporate</x:v>
      </x:c>
      <x:c r="I721" t="n">
        <x:v>64</x:v>
      </x:c>
      <x:c r="J721" s="10" t="n">
        <x:v>12816.71</x:v>
      </x:c>
      <x:c r="K721" s="10" t="n">
        <x:v>9843.39</x:v>
      </x:c>
      <x:c r="L721" s="10" t="n">
        <x:v>2973.32</x:v>
      </x:c>
      <x:c r="M721" s="12" t="n">
        <x:v>0.23198751527280967</x:v>
      </x:c>
    </x:row>
  </x:sheetData>
  <x:pageMargins left="0.7" right="0.7" top="0.75" bottom="0.75" header="0.3" footer="0.3"/>
  <x:tableParts count="1">
    <x:tablePart xmlns:r="http://schemas.openxmlformats.org/officeDocument/2006/relationships" r:id="R1fddfcebe068473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20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>
      <x:c r="A1" s="16" t="str">
        <x:v>GLOBAL SALES PERFORMANCE &amp; COUNTRY GROWTH DASHBOARD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</x:row>
    <x:row r="2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</x:row>
    <x:row r="4">
      <x:c r="A4" s="22" t="str">
        <x:v>KPI</x:v>
      </x:c>
      <x:c r="B4" s="22" t="str">
        <x:v>Value</x:v>
      </x:c>
      <x:c r="I4" s="22" t="str">
        <x:v>Category</x:v>
      </x:c>
      <x:c r="J4" s="22" t="str">
        <x:v>2026 Revenue</x:v>
      </x:c>
      <x:c r="K4" s="22" t="str">
        <x:v>2026 Profit</x:v>
      </x:c>
      <x:c r="L4" s="22" t="str">
        <x:v>Margin</x:v>
      </x:c>
    </x:row>
    <x:row r="5">
      <x:c r="A5" s="20" t="str">
        <x:v>2026 Revenue</x:v>
      </x:c>
      <x:c r="B5" s="10" t="n">
        <x:f>SUMIFS(Sales_Data!$J:$J,Sales_Data!$C:$C,2026)</x:f>
        <x:v>4961564.75</x:v>
      </x:c>
      <x:c r="I5" t="str">
        <x:v>Technology</x:v>
      </x:c>
      <x:c r="J5" s="10" t="n">
        <x:f>SUMIFS(Sales_Data!$J:$J,Sales_Data!$F:$F,$I5,Sales_Data!$C:$C,2026)</x:f>
        <x:v>2824618.5799999987</x:v>
      </x:c>
      <x:c r="K5" s="10" t="n">
        <x:f>SUMIFS(Sales_Data!$L:$L,Sales_Data!$F:$F,$I5,Sales_Data!$C:$C,2026)</x:f>
        <x:v>812397.68</x:v>
      </x:c>
      <x:c r="L5" s="12" t="n">
        <x:f>K5/J5</x:f>
        <x:v>0.28761323236781955</x:v>
      </x:c>
    </x:row>
    <x:row r="6">
      <x:c r="A6" s="20" t="str">
        <x:v>2026 Profit</x:v>
      </x:c>
      <x:c r="B6" s="10" t="n">
        <x:f>SUMIFS(Sales_Data!$L:$L,Sales_Data!$C:$C,2026)</x:f>
        <x:v>1267199.9900000014</x:v>
      </x:c>
      <x:c r="I6" t="str">
        <x:v>Furniture</x:v>
      </x:c>
      <x:c r="J6" s="10" t="n">
        <x:f>SUMIFS(Sales_Data!$J:$J,Sales_Data!$F:$F,$I6,Sales_Data!$C:$C,2026)</x:f>
        <x:v>1645997.4099999997</x:v>
      </x:c>
      <x:c r="K6" s="10" t="n">
        <x:f>SUMIFS(Sales_Data!$L:$L,Sales_Data!$F:$F,$I6,Sales_Data!$C:$C,2026)</x:f>
        <x:v>365331.17000000004</x:v>
      </x:c>
      <x:c r="L6" s="12" t="n">
        <x:f>K6/J6</x:f>
        <x:v>0.22195124231696095</x:v>
      </x:c>
    </x:row>
    <x:row r="7">
      <x:c r="A7" s="20" t="str">
        <x:v>Profit Margin</x:v>
      </x:c>
      <x:c r="B7" s="12" t="n">
        <x:f>B6/B5</x:f>
        <x:v>0.2554032959057929</x:v>
      </x:c>
      <x:c r="I7" t="str">
        <x:v>Office Supplies</x:v>
      </x:c>
      <x:c r="J7" s="10" t="n">
        <x:f>SUMIFS(Sales_Data!$J:$J,Sales_Data!$F:$F,$I7,Sales_Data!$C:$C,2026)</x:f>
        <x:v>490948.7600000001</x:v>
      </x:c>
      <x:c r="K7" s="10" t="n">
        <x:f>SUMIFS(Sales_Data!$L:$L,Sales_Data!$F:$F,$I7,Sales_Data!$C:$C,2026)</x:f>
        <x:v>89471.14000000003</x:v>
      </x:c>
      <x:c r="L7" s="12" t="n">
        <x:f>K7/J7</x:f>
        <x:v>0.18224129947899248</x:v>
      </x:c>
    </x:row>
    <x:row r="8">
      <x:c r="A8" s="20" t="str">
        <x:v>YoY Growth</x:v>
      </x:c>
      <x:c r="B8" s="12" t="n">
        <x:f>B5/SUMIFS(Sales_Data!$J:$J,Sales_Data!$C:$C,2025)-1</x:f>
        <x:v>0.21720529802575483</x:v>
      </x:c>
      <x:c r="J8" s="10"/>
      <x:c r="K8" s="10"/>
      <x:c r="L8" s="12"/>
    </x:row>
    <x:row r="9">
      <x:c r="J9" s="10"/>
      <x:c r="K9" s="10"/>
      <x:c r="L9" s="12"/>
    </x:row>
    <x:row r="10">
      <x:c r="I10" s="22" t="str">
        <x:v>Segment</x:v>
      </x:c>
      <x:c r="J10" s="35" t="str">
        <x:v>2026 Revenue</x:v>
      </x:c>
      <x:c r="K10" s="35" t="str">
        <x:v>2026 Profit</x:v>
      </x:c>
      <x:c r="L10" s="37" t="str">
        <x:v>Margin</x:v>
      </x:c>
    </x:row>
    <x:row r="11">
      <x:c r="A11" s="28" t="str">
        <x:v>Country</x:v>
      </x:c>
      <x:c r="B11" s="28" t="str">
        <x:v>Region</x:v>
      </x:c>
      <x:c r="C11" s="28" t="str">
        <x:v>2025 Revenue</x:v>
      </x:c>
      <x:c r="D11" s="28" t="str">
        <x:v>2026 Revenue</x:v>
      </x:c>
      <x:c r="E11" s="28" t="str">
        <x:v>2026 Profit</x:v>
      </x:c>
      <x:c r="F11" s="28" t="str">
        <x:v>YoY Growth</x:v>
      </x:c>
      <x:c r="G11" s="28" t="str">
        <x:v>2026 Margin</x:v>
      </x:c>
      <x:c r="I11" t="str">
        <x:v>Consumer</x:v>
      </x:c>
      <x:c r="J11" s="10" t="n">
        <x:f>SUMIFS(Sales_Data!$J:$J,Sales_Data!$H:$H,$I11,Sales_Data!$C:$C,2026)</x:f>
        <x:v>1587741.2000000002</x:v>
      </x:c>
      <x:c r="K11" s="10" t="n">
        <x:f>SUMIFS(Sales_Data!$L:$L,Sales_Data!$H:$H,$I11,Sales_Data!$C:$C,2026)</x:f>
        <x:v>395370.7099999998</x:v>
      </x:c>
      <x:c r="L11" s="12" t="n">
        <x:f>K11/J11</x:f>
        <x:v>0.2490145812176441</x:v>
      </x:c>
    </x:row>
    <x:row r="12">
      <x:c r="A12" s="25" t="str">
        <x:v>United States</x:v>
      </x:c>
      <x:c r="B12" s="25" t="str">
        <x:v>North America</x:v>
      </x:c>
      <x:c r="C12" s="31" t="n">
        <x:f>SUMIFS(Sales_Data!$J:$J,Sales_Data!$D:$D,$A12,Sales_Data!$C:$C,2025)</x:f>
        <x:v>444873.9600000001</x:v>
      </x:c>
      <x:c r="D12" s="31" t="n">
        <x:f>SUMIFS(Sales_Data!$J:$J,Sales_Data!$D:$D,$A12,Sales_Data!$C:$C,2026)</x:f>
        <x:v>427289.1599999999</x:v>
      </x:c>
      <x:c r="E12" s="31" t="n">
        <x:f>SUMIFS(Sales_Data!$L:$L,Sales_Data!$D:$D,$A12,Sales_Data!$C:$C,2026)</x:f>
        <x:v>110938.64000000001</x:v>
      </x:c>
      <x:c r="F12" s="33" t="n">
        <x:f>IFERROR(D12/C12-1,0)</x:f>
        <x:v>-0.039527600131956886</x:v>
      </x:c>
      <x:c r="G12" s="33" t="n">
        <x:f>IFERROR(E12/D12,0)</x:f>
        <x:v>0.2596336401325979</x:v>
      </x:c>
      <x:c r="I12" t="str">
        <x:v>Corporate</x:v>
      </x:c>
      <x:c r="J12" s="10" t="n">
        <x:f>SUMIFS(Sales_Data!$J:$J,Sales_Data!$H:$H,$I12,Sales_Data!$C:$C,2026)</x:f>
        <x:v>1432965.499999999</x:v>
      </x:c>
      <x:c r="K12" s="10" t="n">
        <x:f>SUMIFS(Sales_Data!$L:$L,Sales_Data!$H:$H,$I12,Sales_Data!$C:$C,2026)</x:f>
        <x:v>365014.90000000014</x:v>
      </x:c>
      <x:c r="L12" s="12" t="n">
        <x:f>K12/J12</x:f>
        <x:v>0.25472692817796405</x:v>
      </x:c>
    </x:row>
    <x:row r="13">
      <x:c r="A13" s="25" t="str">
        <x:v>Canada</x:v>
      </x:c>
      <x:c r="B13" s="25" t="str">
        <x:v>North America</x:v>
      </x:c>
      <x:c r="C13" s="31" t="n">
        <x:f>SUMIFS(Sales_Data!$J:$J,Sales_Data!$D:$D,$A13,Sales_Data!$C:$C,2025)</x:f>
        <x:v>224260.72000000003</x:v>
      </x:c>
      <x:c r="D13" s="31" t="n">
        <x:f>SUMIFS(Sales_Data!$J:$J,Sales_Data!$D:$D,$A13,Sales_Data!$C:$C,2026)</x:f>
        <x:v>219574.92000000004</x:v>
      </x:c>
      <x:c r="E13" s="31" t="n">
        <x:f>SUMIFS(Sales_Data!$L:$L,Sales_Data!$D:$D,$A13,Sales_Data!$C:$C,2026)</x:f>
        <x:v>60804.24</x:v>
      </x:c>
      <x:c r="F13" s="33" t="n">
        <x:f>IFERROR(D13/C13-1,0)</x:f>
        <x:v>-0.020894430375502204</x:v>
      </x:c>
      <x:c r="G13" s="33" t="n">
        <x:f>IFERROR(E13/D13,0)</x:f>
        <x:v>0.27691796494790927</x:v>
      </x:c>
      <x:c r="I13" t="str">
        <x:v>Home Office</x:v>
      </x:c>
      <x:c r="J13" s="10" t="n">
        <x:f>SUMIFS(Sales_Data!$J:$J,Sales_Data!$H:$H,$I13,Sales_Data!$C:$C,2026)</x:f>
        <x:v>1940858.0499999998</x:v>
      </x:c>
      <x:c r="K13" s="10" t="n">
        <x:f>SUMIFS(Sales_Data!$L:$L,Sales_Data!$H:$H,$I13,Sales_Data!$C:$C,2026)</x:f>
        <x:v>506814.38000000035</x:v>
      </x:c>
      <x:c r="L13" s="12" t="n">
        <x:f>K13/J13</x:f>
        <x:v>0.26112903001845006</x:v>
      </x:c>
    </x:row>
    <x:row r="14">
      <x:c r="A14" s="25" t="str">
        <x:v>Mexico</x:v>
      </x:c>
      <x:c r="B14" s="25" t="str">
        <x:v>North America</x:v>
      </x:c>
      <x:c r="C14" s="31" t="n">
        <x:f>SUMIFS(Sales_Data!$J:$J,Sales_Data!$D:$D,$A14,Sales_Data!$C:$C,2025)</x:f>
        <x:v>175725.99</x:v>
      </x:c>
      <x:c r="D14" s="31" t="n">
        <x:f>SUMIFS(Sales_Data!$J:$J,Sales_Data!$D:$D,$A14,Sales_Data!$C:$C,2026)</x:f>
        <x:v>252335.03</x:v>
      </x:c>
      <x:c r="E14" s="31" t="n">
        <x:f>SUMIFS(Sales_Data!$L:$L,Sales_Data!$D:$D,$A14,Sales_Data!$C:$C,2026)</x:f>
        <x:v>59966.06</x:v>
      </x:c>
      <x:c r="F14" s="33" t="n">
        <x:f>IFERROR(D14/C14-1,0)</x:f>
        <x:v>0.4359573674901476</x:v>
      </x:c>
      <x:c r="G14" s="33" t="n">
        <x:f>IFERROR(E14/D14,0)</x:f>
        <x:v>0.2376446108176102</x:v>
      </x:c>
    </x:row>
    <x:row r="15">
      <x:c r="A15" s="25" t="str">
        <x:v>Brazil</x:v>
      </x:c>
      <x:c r="B15" s="25" t="str">
        <x:v>South America</x:v>
      </x:c>
      <x:c r="C15" s="31" t="n">
        <x:f>SUMIFS(Sales_Data!$J:$J,Sales_Data!$D:$D,$A15,Sales_Data!$C:$C,2025)</x:f>
        <x:v>167943.94999999998</x:v>
      </x:c>
      <x:c r="D15" s="31" t="n">
        <x:f>SUMIFS(Sales_Data!$J:$J,Sales_Data!$D:$D,$A15,Sales_Data!$C:$C,2026)</x:f>
        <x:v>285157.77999999997</x:v>
      </x:c>
      <x:c r="E15" s="31" t="n">
        <x:f>SUMIFS(Sales_Data!$L:$L,Sales_Data!$D:$D,$A15,Sales_Data!$C:$C,2026)</x:f>
        <x:v>75443.31999999999</x:v>
      </x:c>
      <x:c r="F15" s="33" t="n">
        <x:f>IFERROR(D15/C15-1,0)</x:f>
        <x:v>0.6979342215066395</x:v>
      </x:c>
      <x:c r="G15" s="33" t="n">
        <x:f>IFERROR(E15/D15,0)</x:f>
        <x:v>0.2645669355400368</x:v>
      </x:c>
    </x:row>
    <x:row r="16">
      <x:c r="A16" s="25" t="str">
        <x:v>Argentina</x:v>
      </x:c>
      <x:c r="B16" s="25" t="str">
        <x:v>South America</x:v>
      </x:c>
      <x:c r="C16" s="31" t="n">
        <x:f>SUMIFS(Sales_Data!$J:$J,Sales_Data!$D:$D,$A16,Sales_Data!$C:$C,2025)</x:f>
        <x:v>87001.34</x:v>
      </x:c>
      <x:c r="D16" s="31" t="n">
        <x:f>SUMIFS(Sales_Data!$J:$J,Sales_Data!$D:$D,$A16,Sales_Data!$C:$C,2026)</x:f>
        <x:v>74497.21000000002</x:v>
      </x:c>
      <x:c r="E16" s="31" t="n">
        <x:f>SUMIFS(Sales_Data!$L:$L,Sales_Data!$D:$D,$A16,Sales_Data!$C:$C,2026)</x:f>
        <x:v>15793.42</x:v>
      </x:c>
      <x:c r="F16" s="33" t="n">
        <x:f>IFERROR(D16/C16-1,0)</x:f>
        <x:v>-0.14372341851286397</x:v>
      </x:c>
      <x:c r="G16" s="33" t="n">
        <x:f>IFERROR(E16/D16,0)</x:f>
        <x:v>0.21200015409973066</x:v>
      </x:c>
    </x:row>
    <x:row r="17">
      <x:c r="A17" s="25" t="str">
        <x:v>United Kingdom</x:v>
      </x:c>
      <x:c r="B17" s="25" t="str">
        <x:v>Europe</x:v>
      </x:c>
      <x:c r="C17" s="31" t="n">
        <x:f>SUMIFS(Sales_Data!$J:$J,Sales_Data!$D:$D,$A17,Sales_Data!$C:$C,2025)</x:f>
        <x:v>215900.83000000002</x:v>
      </x:c>
      <x:c r="D17" s="31" t="n">
        <x:f>SUMIFS(Sales_Data!$J:$J,Sales_Data!$D:$D,$A17,Sales_Data!$C:$C,2026)</x:f>
        <x:v>202374.56</x:v>
      </x:c>
      <x:c r="E17" s="31" t="n">
        <x:f>SUMIFS(Sales_Data!$L:$L,Sales_Data!$D:$D,$A17,Sales_Data!$C:$C,2026)</x:f>
        <x:v>48570.39</x:v>
      </x:c>
      <x:c r="F17" s="33" t="n">
        <x:f>IFERROR(D17/C17-1,0)</x:f>
        <x:v>-0.06265038443807747</x:v>
      </x:c>
      <x:c r="G17" s="33" t="n">
        <x:f>IFERROR(E17/D17,0)</x:f>
        <x:v>0.24000244892441025</x:v>
      </x:c>
    </x:row>
    <x:row r="18">
      <x:c r="A18" s="25" t="str">
        <x:v>Germany</x:v>
      </x:c>
      <x:c r="B18" s="25" t="str">
        <x:v>Europe</x:v>
      </x:c>
      <x:c r="C18" s="31" t="n">
        <x:f>SUMIFS(Sales_Data!$J:$J,Sales_Data!$D:$D,$A18,Sales_Data!$C:$C,2025)</x:f>
        <x:v>288957.18000000005</x:v>
      </x:c>
      <x:c r="D18" s="31" t="n">
        <x:f>SUMIFS(Sales_Data!$J:$J,Sales_Data!$D:$D,$A18,Sales_Data!$C:$C,2026)</x:f>
        <x:v>314102.57</x:v>
      </x:c>
      <x:c r="E18" s="31" t="n">
        <x:f>SUMIFS(Sales_Data!$L:$L,Sales_Data!$D:$D,$A18,Sales_Data!$C:$C,2026)</x:f>
        <x:v>80965.22</x:v>
      </x:c>
      <x:c r="F18" s="33" t="n">
        <x:f>IFERROR(D18/C18-1,0)</x:f>
        <x:v>0.08702116348173083</x:v>
      </x:c>
      <x:c r="G18" s="33" t="n">
        <x:f>IFERROR(E18/D18,0)</x:f>
        <x:v>0.25776681801743934</x:v>
      </x:c>
    </x:row>
    <x:row r="19">
      <x:c r="A19" s="25" t="str">
        <x:v>France</x:v>
      </x:c>
      <x:c r="B19" s="25" t="str">
        <x:v>Europe</x:v>
      </x:c>
      <x:c r="C19" s="31" t="n">
        <x:f>SUMIFS(Sales_Data!$J:$J,Sales_Data!$D:$D,$A19,Sales_Data!$C:$C,2025)</x:f>
        <x:v>309806.71</x:v>
      </x:c>
      <x:c r="D19" s="31" t="n">
        <x:f>SUMIFS(Sales_Data!$J:$J,Sales_Data!$D:$D,$A19,Sales_Data!$C:$C,2026)</x:f>
        <x:v>225270.13000000003</x:v>
      </x:c>
      <x:c r="E19" s="31" t="n">
        <x:f>SUMIFS(Sales_Data!$L:$L,Sales_Data!$D:$D,$A19,Sales_Data!$C:$C,2026)</x:f>
        <x:v>62488.79</x:v>
      </x:c>
      <x:c r="F19" s="33" t="n">
        <x:f>IFERROR(D19/C19-1,0)</x:f>
        <x:v>-0.2728687832487553</x:v>
      </x:c>
      <x:c r="G19" s="33" t="n">
        <x:f>IFERROR(E19/D19,0)</x:f>
        <x:v>0.27739492137728156</x:v>
      </x:c>
    </x:row>
    <x:row r="20">
      <x:c r="A20" s="25" t="str">
        <x:v>Spain</x:v>
      </x:c>
      <x:c r="B20" s="25" t="str">
        <x:v>Europe</x:v>
      </x:c>
      <x:c r="C20" s="31" t="n">
        <x:f>SUMIFS(Sales_Data!$J:$J,Sales_Data!$D:$D,$A20,Sales_Data!$C:$C,2025)</x:f>
        <x:v>174452.86000000002</x:v>
      </x:c>
      <x:c r="D20" s="31" t="n">
        <x:f>SUMIFS(Sales_Data!$J:$J,Sales_Data!$D:$D,$A20,Sales_Data!$C:$C,2026)</x:f>
        <x:v>234000.06000000003</x:v>
      </x:c>
      <x:c r="E20" s="31" t="n">
        <x:f>SUMIFS(Sales_Data!$L:$L,Sales_Data!$D:$D,$A20,Sales_Data!$C:$C,2026)</x:f>
        <x:v>64430.130000000005</x:v>
      </x:c>
      <x:c r="F20" s="33" t="n">
        <x:f>IFERROR(D20/C20-1,0)</x:f>
        <x:v>0.3413369090079692</x:v>
      </x:c>
      <x:c r="G20" s="33" t="n">
        <x:f>IFERROR(E20/D20,0)</x:f>
        <x:v>0.27534236529682937</x:v>
      </x:c>
    </x:row>
    <x:row r="21">
      <x:c r="A21" s="25" t="str">
        <x:v>Italy</x:v>
      </x:c>
      <x:c r="B21" s="25" t="str">
        <x:v>Europe</x:v>
      </x:c>
      <x:c r="C21" s="31" t="n">
        <x:f>SUMIFS(Sales_Data!$J:$J,Sales_Data!$D:$D,$A21,Sales_Data!$C:$C,2025)</x:f>
        <x:v>200579.71000000005</x:v>
      </x:c>
      <x:c r="D21" s="31" t="n">
        <x:f>SUMIFS(Sales_Data!$J:$J,Sales_Data!$D:$D,$A21,Sales_Data!$C:$C,2026)</x:f>
        <x:v>131902.79</x:v>
      </x:c>
      <x:c r="E21" s="31" t="n">
        <x:f>SUMIFS(Sales_Data!$L:$L,Sales_Data!$D:$D,$A21,Sales_Data!$C:$C,2026)</x:f>
        <x:v>27658.68</x:v>
      </x:c>
      <x:c r="F21" s="33" t="n">
        <x:f>IFERROR(D21/C21-1,0)</x:f>
        <x:v>-0.3423921592069309</x:v>
      </x:c>
      <x:c r="G21" s="33" t="n">
        <x:f>IFERROR(E21/D21,0)</x:f>
        <x:v>0.20968987843244255</x:v>
      </x:c>
    </x:row>
    <x:row r="22">
      <x:c r="A22" s="25" t="str">
        <x:v>India</x:v>
      </x:c>
      <x:c r="B22" s="25" t="str">
        <x:v>Asia</x:v>
      </x:c>
      <x:c r="C22" s="31" t="n">
        <x:f>SUMIFS(Sales_Data!$J:$J,Sales_Data!$D:$D,$A22,Sales_Data!$C:$C,2025)</x:f>
        <x:v>240445.55999999997</x:v>
      </x:c>
      <x:c r="D22" s="31" t="n">
        <x:f>SUMIFS(Sales_Data!$J:$J,Sales_Data!$D:$D,$A22,Sales_Data!$C:$C,2026)</x:f>
        <x:v>594106.0599999999</x:v>
      </x:c>
      <x:c r="E22" s="31" t="n">
        <x:f>SUMIFS(Sales_Data!$L:$L,Sales_Data!$D:$D,$A22,Sales_Data!$C:$C,2026)</x:f>
        <x:v>148499.84000000003</x:v>
      </x:c>
      <x:c r="F22" s="33" t="n">
        <x:f>IFERROR(D22/C22-1,0)</x:f>
        <x:v>1.4708547747772927</x:v>
      </x:c>
      <x:c r="G22" s="33" t="n">
        <x:f>IFERROR(E22/D22,0)</x:f>
        <x:v>0.2499551006094771</x:v>
      </x:c>
    </x:row>
    <x:row r="23">
      <x:c r="A23" s="25" t="str">
        <x:v>China</x:v>
      </x:c>
      <x:c r="B23" s="25" t="str">
        <x:v>Asia</x:v>
      </x:c>
      <x:c r="C23" s="31" t="n">
        <x:f>SUMIFS(Sales_Data!$J:$J,Sales_Data!$D:$D,$A23,Sales_Data!$C:$C,2025)</x:f>
        <x:v>254768.28999999998</x:v>
      </x:c>
      <x:c r="D23" s="31" t="n">
        <x:f>SUMIFS(Sales_Data!$J:$J,Sales_Data!$D:$D,$A23,Sales_Data!$C:$C,2026)</x:f>
        <x:v>432359.23</x:v>
      </x:c>
      <x:c r="E23" s="31" t="n">
        <x:f>SUMIFS(Sales_Data!$L:$L,Sales_Data!$D:$D,$A23,Sales_Data!$C:$C,2026)</x:f>
        <x:v>117027.39</x:v>
      </x:c>
      <x:c r="F23" s="33" t="n">
        <x:f>IFERROR(D23/C23-1,0)</x:f>
        <x:v>0.6970684616990601</x:v>
      </x:c>
      <x:c r="G23" s="33" t="n">
        <x:f>IFERROR(E23/D23,0)</x:f>
        <x:v>0.27067165884257866</x:v>
      </x:c>
    </x:row>
    <x:row r="24">
      <x:c r="A24" s="25" t="str">
        <x:v>Japan</x:v>
      </x:c>
      <x:c r="B24" s="25" t="str">
        <x:v>Asia</x:v>
      </x:c>
      <x:c r="C24" s="31" t="n">
        <x:f>SUMIFS(Sales_Data!$J:$J,Sales_Data!$D:$D,$A24,Sales_Data!$C:$C,2025)</x:f>
        <x:v>169164.28000000003</x:v>
      </x:c>
      <x:c r="D24" s="31" t="n">
        <x:f>SUMIFS(Sales_Data!$J:$J,Sales_Data!$D:$D,$A24,Sales_Data!$C:$C,2026)</x:f>
        <x:v>295579.55</x:v>
      </x:c>
      <x:c r="E24" s="31" t="n">
        <x:f>SUMIFS(Sales_Data!$L:$L,Sales_Data!$D:$D,$A24,Sales_Data!$C:$C,2026)</x:f>
        <x:v>78912.62000000001</x:v>
      </x:c>
      <x:c r="F24" s="33" t="n">
        <x:f>IFERROR(D24/C24-1,0)</x:f>
        <x:v>0.7472929273248463</x:v>
      </x:c>
      <x:c r="G24" s="33" t="n">
        <x:f>IFERROR(E24/D24,0)</x:f>
        <x:v>0.2669759122375009</x:v>
      </x:c>
    </x:row>
    <x:row r="25">
      <x:c r="A25" s="25" t="str">
        <x:v>Singapore</x:v>
      </x:c>
      <x:c r="B25" s="25" t="str">
        <x:v>Asia</x:v>
      </x:c>
      <x:c r="C25" s="31" t="n">
        <x:f>SUMIFS(Sales_Data!$J:$J,Sales_Data!$D:$D,$A25,Sales_Data!$C:$C,2025)</x:f>
        <x:v>161956.40000000002</x:v>
      </x:c>
      <x:c r="D25" s="31" t="n">
        <x:f>SUMIFS(Sales_Data!$J:$J,Sales_Data!$D:$D,$A25,Sales_Data!$C:$C,2026)</x:f>
        <x:v>184058.46000000002</x:v>
      </x:c>
      <x:c r="E25" s="31" t="n">
        <x:f>SUMIFS(Sales_Data!$L:$L,Sales_Data!$D:$D,$A25,Sales_Data!$C:$C,2026)</x:f>
        <x:v>43304.18</x:v>
      </x:c>
      <x:c r="F25" s="33" t="n">
        <x:f>IFERROR(D25/C25-1,0)</x:f>
        <x:v>0.13646919788288692</x:v>
      </x:c>
      <x:c r="G25" s="33" t="n">
        <x:f>IFERROR(E25/D25,0)</x:f>
        <x:v>0.2352740536892463</x:v>
      </x:c>
    </x:row>
    <x:row r="26">
      <x:c r="A26" s="25" t="str">
        <x:v>Australia</x:v>
      </x:c>
      <x:c r="B26" s="25" t="str">
        <x:v>Oceania</x:v>
      </x:c>
      <x:c r="C26" s="31" t="n">
        <x:f>SUMIFS(Sales_Data!$J:$J,Sales_Data!$D:$D,$A26,Sales_Data!$C:$C,2025)</x:f>
        <x:v>266490.38</x:v>
      </x:c>
      <x:c r="D26" s="31" t="n">
        <x:f>SUMIFS(Sales_Data!$J:$J,Sales_Data!$D:$D,$A26,Sales_Data!$C:$C,2026)</x:f>
        <x:v>304765.05000000005</x:v>
      </x:c>
      <x:c r="E26" s="31" t="n">
        <x:f>SUMIFS(Sales_Data!$L:$L,Sales_Data!$D:$D,$A26,Sales_Data!$C:$C,2026)</x:f>
        <x:v>82963.1</x:v>
      </x:c>
      <x:c r="F26" s="33" t="n">
        <x:f>IFERROR(D26/C26-1,0)</x:f>
        <x:v>0.14362495937001563</x:v>
      </x:c>
      <x:c r="G26" s="33" t="n">
        <x:f>IFERROR(E26/D26,0)</x:f>
        <x:v>0.2722198624809505</x:v>
      </x:c>
    </x:row>
    <x:row r="27">
      <x:c r="A27" s="25" t="str">
        <x:v>UAE</x:v>
      </x:c>
      <x:c r="B27" s="25" t="str">
        <x:v>Middle East</x:v>
      </x:c>
      <x:c r="C27" s="31" t="n">
        <x:f>SUMIFS(Sales_Data!$J:$J,Sales_Data!$D:$D,$A27,Sales_Data!$C:$C,2025)</x:f>
        <x:v>260353.7</x:v>
      </x:c>
      <x:c r="D27" s="31" t="n">
        <x:f>SUMIFS(Sales_Data!$J:$J,Sales_Data!$D:$D,$A27,Sales_Data!$C:$C,2026)</x:f>
        <x:v>181897.78</x:v>
      </x:c>
      <x:c r="E27" s="31" t="n">
        <x:f>SUMIFS(Sales_Data!$L:$L,Sales_Data!$D:$D,$A27,Sales_Data!$C:$C,2026)</x:f>
        <x:v>47650.93</x:v>
      </x:c>
      <x:c r="F27" s="33" t="n">
        <x:f>IFERROR(D27/C27-1,0)</x:f>
        <x:v>-0.30134359527058774</x:v>
      </x:c>
      <x:c r="G27" s="33" t="n">
        <x:f>IFERROR(E27/D27,0)</x:f>
        <x:v>0.26196542915477034</x:v>
      </x:c>
    </x:row>
    <x:row r="28">
      <x:c r="A28" s="25" t="str">
        <x:v>Saudi Arabia</x:v>
      </x:c>
      <x:c r="B28" s="25" t="str">
        <x:v>Middle East</x:v>
      </x:c>
      <x:c r="C28" s="31" t="n">
        <x:f>SUMIFS(Sales_Data!$J:$J,Sales_Data!$D:$D,$A28,Sales_Data!$C:$C,2025)</x:f>
        <x:v>148494.95</x:v>
      </x:c>
      <x:c r="D28" s="31" t="n">
        <x:f>SUMIFS(Sales_Data!$J:$J,Sales_Data!$D:$D,$A28,Sales_Data!$C:$C,2026)</x:f>
        <x:v>233600.97999999998</x:v>
      </x:c>
      <x:c r="E28" s="31" t="n">
        <x:f>SUMIFS(Sales_Data!$L:$L,Sales_Data!$D:$D,$A28,Sales_Data!$C:$C,2026)</x:f>
        <x:v>57414.149999999994</x:v>
      </x:c>
      <x:c r="F28" s="33" t="n">
        <x:f>IFERROR(D28/C28-1,0)</x:f>
        <x:v>0.5731240692023531</x:v>
      </x:c>
      <x:c r="G28" s="33" t="n">
        <x:f>IFERROR(E28/D28,0)</x:f>
        <x:v>0.2457787206200933</x:v>
      </x:c>
    </x:row>
    <x:row r="29">
      <x:c r="A29" s="25" t="str">
        <x:v>South Africa</x:v>
      </x:c>
      <x:c r="B29" s="25" t="str">
        <x:v>Africa</x:v>
      </x:c>
      <x:c r="C29" s="31" t="n">
        <x:f>SUMIFS(Sales_Data!$J:$J,Sales_Data!$D:$D,$A29,Sales_Data!$C:$C,2025)</x:f>
        <x:v>133632.08000000002</x:v>
      </x:c>
      <x:c r="D29" s="31" t="n">
        <x:f>SUMIFS(Sales_Data!$J:$J,Sales_Data!$D:$D,$A29,Sales_Data!$C:$C,2026)</x:f>
        <x:v>152570.71000000002</x:v>
      </x:c>
      <x:c r="E29" s="31" t="n">
        <x:f>SUMIFS(Sales_Data!$L:$L,Sales_Data!$D:$D,$A29,Sales_Data!$C:$C,2026)</x:f>
        <x:v>32869.99</x:v>
      </x:c>
      <x:c r="F29" s="33" t="n">
        <x:f>IFERROR(D29/C29-1,0)</x:f>
        <x:v>0.14172218227838695</x:v>
      </x:c>
      <x:c r="G29" s="33" t="n">
        <x:f>IFERROR(E29/D29,0)</x:f>
        <x:v>0.21544102403403637</x:v>
      </x:c>
    </x:row>
    <x:row r="30">
      <x:c r="A30" s="25" t="str">
        <x:v>Nigeria</x:v>
      </x:c>
      <x:c r="B30" s="25" t="str">
        <x:v>Africa</x:v>
      </x:c>
      <x:c r="C30" s="31" t="n">
        <x:f>SUMIFS(Sales_Data!$J:$J,Sales_Data!$D:$D,$A30,Sales_Data!$C:$C,2025)</x:f>
        <x:v>75608.11999999998</x:v>
      </x:c>
      <x:c r="D30" s="31" t="n">
        <x:f>SUMIFS(Sales_Data!$J:$J,Sales_Data!$D:$D,$A30,Sales_Data!$C:$C,2026)</x:f>
        <x:v>67439.18</x:v>
      </x:c>
      <x:c r="E30" s="31" t="n">
        <x:f>SUMIFS(Sales_Data!$L:$L,Sales_Data!$D:$D,$A30,Sales_Data!$C:$C,2026)</x:f>
        <x:v>15023.09</x:v>
      </x:c>
      <x:c r="F30" s="33" t="n">
        <x:f>IFERROR(D30/C30-1,0)</x:f>
        <x:v>-0.10804315726935132</x:v>
      </x:c>
      <x:c r="G30" s="33" t="n">
        <x:f>IFERROR(E30/D30,0)</x:f>
        <x:v>0.2227650158261118</x:v>
      </x:c>
    </x:row>
    <x:row r="31">
      <x:c r="A31" s="25" t="str">
        <x:v>Kenya</x:v>
      </x:c>
      <x:c r="B31" s="25" t="str">
        <x:v>Africa</x:v>
      </x:c>
      <x:c r="C31" s="31" t="n">
        <x:f>SUMIFS(Sales_Data!$J:$J,Sales_Data!$D:$D,$A31,Sales_Data!$C:$C,2025)</x:f>
        <x:v>75776.84</x:v>
      </x:c>
      <x:c r="D31" s="31" t="n">
        <x:f>SUMIFS(Sales_Data!$J:$J,Sales_Data!$D:$D,$A31,Sales_Data!$C:$C,2026)</x:f>
        <x:v>148683.54</x:v>
      </x:c>
      <x:c r="E31" s="31" t="n">
        <x:f>SUMIFS(Sales_Data!$L:$L,Sales_Data!$D:$D,$A31,Sales_Data!$C:$C,2026)</x:f>
        <x:v>36475.810000000005</x:v>
      </x:c>
      <x:c r="F31" s="33" t="n">
        <x:f>IFERROR(D31/C31-1,0)</x:f>
        <x:v>0.96212378346735</x:v>
      </x:c>
      <x:c r="G31" s="33" t="n">
        <x:f>IFERROR(E31/D31,0)</x:f>
        <x:v>0.24532513820964985</x:v>
      </x:c>
    </x:row>
  </x:sheetData>
  <x:mergeCells>
    <x:mergeCell ref="A1:L2"/>
  </x:mergeCells>
  <x:conditionalFormatting sqref="F12:F31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G12:G31">
    <x:cfRule type="dataBar" priority="2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{169BE573-5479-287D-BE93-74B15E11EBFA}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fc8acb1d4d70401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169BE573-5479-287D-BE93-74B15E11EBFA}">
            <x14:dataBar gradient="1">
              <x14:cfvo type="min"/>
              <x14:cfvo type="max"/>
              <x14:fillColor rgb="FF5B9BD5"/>
            </x14:dataBar>
          </x14:cfRule>
          <xm:sqref>G12:G31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5" hidden="0" customWidth="1"/>
  </x:cols>
  <x:sheetData>
    <x:row r="1">
      <x:c r="A1" s="16" t="str">
        <x:v>PROJECT INSIGHTS &amp; BUSINESS RECOMMENDATIONS</x:v>
      </x:c>
      <x:c r="B1" s="16"/>
      <x:c r="C1" s="16"/>
      <x:c r="D1" s="16"/>
      <x:c r="E1" s="16"/>
      <x:c r="F1" s="16"/>
      <x:c r="G1" s="16"/>
      <x:c r="H1" s="16"/>
    </x:row>
    <x:row r="2">
      <x:c r="A2" s="16"/>
      <x:c r="B2" s="16"/>
      <x:c r="C2" s="16"/>
      <x:c r="D2" s="16"/>
      <x:c r="E2" s="16"/>
      <x:c r="F2" s="16"/>
      <x:c r="G2" s="16"/>
      <x:c r="H2" s="16"/>
    </x:row>
    <x:row r="4">
      <x:c r="A4" s="28" t="str">
        <x:v>Portfolio Section</x:v>
      </x:c>
      <x:c r="B4" s="28" t="str">
        <x:v>Content</x:v>
      </x:c>
    </x:row>
    <x:row r="5">
      <x:c r="A5" s="25" t="str">
        <x:v>Objective</x:v>
      </x:c>
      <x:c r="B5" s="25" t="str">
        <x:v>Analyze global sales performance, profitability, country growth, product categories and customer segments.</x:v>
      </x:c>
    </x:row>
    <x:row r="6">
      <x:c r="A6" s="25" t="str">
        <x:v>Core KPIs</x:v>
      </x:c>
      <x:c r="B6" s="25" t="str">
        <x:v>Revenue, Profit, Profit Margin and Year-over-Year Growth.</x:v>
      </x:c>
    </x:row>
    <x:row r="7">
      <x:c r="A7" s="25" t="str">
        <x:v>High-growth focus</x:v>
      </x:c>
      <x:c r="B7" s="25" t="str">
        <x:v>India, UAE, Saudi Arabia, Kenya and Nigeria are modeled as faster-growth markets for expansion analysis.</x:v>
      </x:c>
    </x:row>
    <x:row r="8">
      <x:c r="A8" s="25" t="str">
        <x:v>Watchlist</x:v>
      </x:c>
      <x:c r="B8" s="25" t="str">
        <x:v>Argentina, South Africa and Italy show weaker growth and/or margin pressure and require pricing/cost review.</x:v>
      </x:c>
    </x:row>
    <x:row r="9">
      <x:c r="A9" s="25" t="str">
        <x:v>Business use</x:v>
      </x:c>
      <x:c r="B9" s="25" t="str">
        <x:v>Prioritize marketing budget geographically, protect margin in weak markets, and scale categories/segments with strong economics.</x:v>
      </x:c>
    </x:row>
    <x:row r="10">
      <x:c r="A10" s="25" t="str">
        <x:v>Tech stack</x:v>
      </x:c>
      <x:c r="B10" s="25" t="str">
        <x:v>Excel dashboard structure with formula-driven KPI analysis; dataset is portfolio/demo data generated for this project.</x:v>
      </x:c>
    </x:row>
    <x:row r="12">
      <x:c r="A12" s="25" t="str">
        <x:v>GitHub README Summary</x:v>
      </x:c>
      <x:c r="B12" s="25" t="str"/>
      <x:c r="C12" s="25" t="str"/>
      <x:c r="D12" s="25" t="str"/>
      <x:c r="E12" s="25" t="str"/>
      <x:c r="F12" s="25" t="str"/>
      <x:c r="G12" s="25" t="str"/>
      <x:c r="H12" s="25" t="str"/>
    </x:row>
    <x:row r="13">
      <x:c r="A13" s="25" t="str">
        <x:v>Project</x:v>
      </x:c>
      <x:c r="B13" s="25" t="str">
        <x:v>Global Sales Performance &amp; Country Growth Dashboard</x:v>
      </x:c>
      <x:c r="C13" s="25" t="str"/>
      <x:c r="D13" s="25" t="str"/>
      <x:c r="E13" s="25" t="str"/>
      <x:c r="F13" s="25" t="str"/>
      <x:c r="G13" s="25" t="str"/>
      <x:c r="H13" s="25" t="str"/>
    </x:row>
    <x:row r="14">
      <x:c r="A14" s="25" t="str">
        <x:v>Problem</x:v>
      </x:c>
      <x:c r="B14" s="25" t="str">
        <x:v>Sales teams need a single view of geographic performance, profitability and growth opportunities.</x:v>
      </x:c>
      <x:c r="C14" s="25" t="str"/>
      <x:c r="D14" s="25" t="str"/>
      <x:c r="E14" s="25" t="str"/>
      <x:c r="F14" s="25" t="str"/>
      <x:c r="G14" s="25" t="str"/>
      <x:c r="H14" s="25" t="str"/>
    </x:row>
    <x:row r="15">
      <x:c r="A15" s="25" t="str">
        <x:v>Solution</x:v>
      </x:c>
      <x:c r="B15" s="25" t="str">
        <x:v>Built a structured analytics dashboard with KPI tracking, country comparisons, category/segment insights and expansion recommendations.</x:v>
      </x:c>
      <x:c r="C15" s="25" t="str"/>
      <x:c r="D15" s="25" t="str"/>
      <x:c r="E15" s="25" t="str"/>
      <x:c r="F15" s="25" t="str"/>
      <x:c r="G15" s="25" t="str"/>
      <x:c r="H15" s="25" t="str"/>
    </x:row>
    <x:row r="16">
      <x:c r="A16" s="25" t="str">
        <x:v>Impact</x:v>
      </x:c>
      <x:c r="B16" s="25" t="str">
        <x:v>Highlights high-potential markets and underperforming regions so commercial teams can focus resources more effectively.</x:v>
      </x:c>
      <x:c r="C16" s="25" t="str"/>
      <x:c r="D16" s="25" t="str"/>
      <x:c r="E16" s="25" t="str"/>
      <x:c r="F16" s="25" t="str"/>
      <x:c r="G16" s="25" t="str"/>
      <x:c r="H16" s="25" t="str"/>
    </x:row>
    <x:row r="17">
      <x:c r="A17" s="25" t="str">
        <x:v>Note</x:v>
      </x:c>
      <x:c r="B17" s="25" t="str">
        <x:v>All data in this workbook is synthetic/demo data and does not represent a real company's confidential sales.</x:v>
      </x:c>
      <x:c r="C17" s="25" t="str"/>
      <x:c r="D17" s="25" t="str"/>
      <x:c r="E17" s="25" t="str"/>
      <x:c r="F17" s="25" t="str"/>
      <x:c r="G17" s="25" t="str"/>
      <x:c r="H17" s="25" t="str"/>
    </x:row>
    <x:row r="18">
      <x:c r="A18" s="25" t="str">
        <x:v>Suggested GitHub files</x:v>
      </x:c>
      <x:c r="B18" s="25" t="str">
        <x:v>sales_dashboard.xlsx, README.md, sales_data.csv, dashboard_preview.png</x:v>
      </x:c>
      <x:c r="C18" s="25" t="str"/>
      <x:c r="D18" s="25" t="str"/>
      <x:c r="E18" s="25" t="str"/>
      <x:c r="F18" s="25" t="str"/>
      <x:c r="G18" s="25" t="str"/>
      <x:c r="H18" s="25" t="str"/>
    </x:row>
  </x:sheetData>
  <x:mergeCells>
    <x:mergeCell ref="A1:H2"/>
  </x:mergeCells>
  <x:pageMargins left="0.7" right="0.7" top="0.75" bottom="0.75" header="0.3" footer="0.3"/>
</x:worksheet>
</file>